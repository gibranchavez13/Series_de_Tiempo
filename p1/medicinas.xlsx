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ESO TAREAS\5 semestre\Series de Tiempo\Series_de_Tiempo\"/>
    </mc:Choice>
  </mc:AlternateContent>
  <xr:revisionPtr revIDLastSave="0" documentId="8_{17BC8EF4-03AE-4F93-BFDD-F0A45FEE9E89}" xr6:coauthVersionLast="47" xr6:coauthVersionMax="47" xr10:uidLastSave="{00000000-0000-0000-0000-000000000000}"/>
  <bookViews>
    <workbookView xWindow="-120" yWindow="-120" windowWidth="29040" windowHeight="15720" xr2:uid="{AEA27FAF-CB9A-4B19-A4DB-AC5A69C73F7C}"/>
  </bookViews>
  <sheets>
    <sheet name="medicin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J2" i="1" a="1"/>
  <c r="J2" i="1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E22" i="1"/>
  <c r="E69" i="1"/>
  <c r="E101" i="1"/>
  <c r="E117" i="1"/>
  <c r="E194" i="1"/>
  <c r="D199" i="1"/>
  <c r="E199" i="1" s="1"/>
  <c r="D198" i="1"/>
  <c r="E198" i="1" s="1"/>
  <c r="D194" i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5" i="1"/>
  <c r="E195" i="1" s="1"/>
  <c r="D196" i="1"/>
  <c r="E196" i="1" s="1"/>
  <c r="D197" i="1"/>
  <c r="E197" i="1" s="1"/>
  <c r="D7" i="1"/>
  <c r="E7" i="1" s="1"/>
  <c r="K2" i="1" l="1" a="1"/>
  <c r="G191" i="1" s="1" a="1"/>
  <c r="G191" i="1" s="1"/>
  <c r="G119" i="1" l="1" a="1"/>
  <c r="G119" i="1" s="1"/>
  <c r="G48" i="1" a="1"/>
  <c r="G48" i="1" s="1"/>
  <c r="G151" i="1" a="1"/>
  <c r="G151" i="1" s="1"/>
  <c r="G11" i="1" a="1"/>
  <c r="G11" i="1" s="1"/>
  <c r="G94" i="1" a="1"/>
  <c r="G94" i="1" s="1"/>
  <c r="G142" i="1" a="1"/>
  <c r="G142" i="1" s="1"/>
  <c r="G89" i="1" a="1"/>
  <c r="G89" i="1" s="1"/>
  <c r="G186" i="1" a="1"/>
  <c r="G186" i="1" s="1"/>
  <c r="G78" i="1" a="1"/>
  <c r="G78" i="1" s="1"/>
  <c r="G43" i="1" a="1"/>
  <c r="G43" i="1" s="1"/>
  <c r="G60" i="1" a="1"/>
  <c r="G60" i="1" s="1"/>
  <c r="G80" i="1" a="1"/>
  <c r="G80" i="1" s="1"/>
  <c r="G33" i="1" a="1"/>
  <c r="G33" i="1" s="1"/>
  <c r="G152" i="1" a="1"/>
  <c r="G152" i="1" s="1"/>
  <c r="G93" i="1" a="1"/>
  <c r="G93" i="1" s="1"/>
  <c r="G126" i="1" a="1"/>
  <c r="G126" i="1" s="1"/>
  <c r="G199" i="1" a="1"/>
  <c r="G199" i="1" s="1"/>
  <c r="G54" i="1" a="1"/>
  <c r="G54" i="1" s="1"/>
  <c r="G102" i="1" a="1"/>
  <c r="G102" i="1" s="1"/>
  <c r="G40" i="1" a="1"/>
  <c r="G40" i="1" s="1"/>
  <c r="G111" i="1" a="1"/>
  <c r="G111" i="1" s="1"/>
  <c r="G61" i="1" a="1"/>
  <c r="G61" i="1" s="1"/>
  <c r="G7" i="1" a="1"/>
  <c r="G7" i="1" s="1"/>
  <c r="G178" i="1" a="1"/>
  <c r="G178" i="1" s="1"/>
  <c r="G96" i="1" a="1"/>
  <c r="G96" i="1" s="1"/>
  <c r="G173" i="1" a="1"/>
  <c r="G173" i="1" s="1"/>
  <c r="G22" i="1" a="1"/>
  <c r="G22" i="1" s="1"/>
  <c r="G136" i="1" a="1"/>
  <c r="G136" i="1" s="1"/>
  <c r="G51" i="1" a="1"/>
  <c r="G51" i="1" s="1"/>
  <c r="G47" i="1" a="1"/>
  <c r="G47" i="1" s="1"/>
  <c r="G127" i="1" a="1"/>
  <c r="G127" i="1" s="1"/>
  <c r="G13" i="1" a="1"/>
  <c r="G13" i="1" s="1"/>
  <c r="G135" i="1" a="1"/>
  <c r="G135" i="1" s="1"/>
  <c r="G64" i="1" a="1"/>
  <c r="G64" i="1" s="1"/>
  <c r="G17" i="1" a="1"/>
  <c r="G17" i="1" s="1"/>
  <c r="G167" i="1" a="1"/>
  <c r="G167" i="1" s="1"/>
  <c r="G176" i="1" a="1"/>
  <c r="G176" i="1" s="1"/>
  <c r="G75" i="1" a="1"/>
  <c r="G75" i="1" s="1"/>
  <c r="G35" i="1" a="1"/>
  <c r="G35" i="1" s="1"/>
  <c r="G125" i="1" a="1"/>
  <c r="G125" i="1" s="1"/>
  <c r="G81" i="1" a="1"/>
  <c r="G81" i="1" s="1"/>
  <c r="G10" i="1" a="1"/>
  <c r="G10" i="1" s="1"/>
  <c r="G97" i="1" a="1"/>
  <c r="G97" i="1" s="1"/>
  <c r="G42" i="1" a="1"/>
  <c r="G42" i="1" s="1"/>
  <c r="G113" i="1" a="1"/>
  <c r="G113" i="1" s="1"/>
  <c r="G58" i="1" a="1"/>
  <c r="G58" i="1" s="1"/>
  <c r="G164" i="1" a="1"/>
  <c r="G164" i="1" s="1"/>
  <c r="G145" i="1" a="1"/>
  <c r="G145" i="1" s="1"/>
  <c r="G180" i="1" a="1"/>
  <c r="G180" i="1" s="1"/>
  <c r="G165" i="1" a="1"/>
  <c r="G165" i="1" s="1"/>
  <c r="G39" i="1" a="1"/>
  <c r="G39" i="1" s="1"/>
  <c r="G45" i="1" a="1"/>
  <c r="G45" i="1" s="1"/>
  <c r="G106" i="1" a="1"/>
  <c r="G106" i="1" s="1"/>
  <c r="G171" i="1" a="1"/>
  <c r="G171" i="1" s="1"/>
  <c r="G143" i="1" a="1"/>
  <c r="G143" i="1" s="1"/>
  <c r="G109" i="1" a="1"/>
  <c r="G109" i="1" s="1"/>
  <c r="G20" i="1" a="1"/>
  <c r="G20" i="1" s="1"/>
  <c r="G105" i="1" a="1"/>
  <c r="G105" i="1" s="1"/>
  <c r="G121" i="1" a="1"/>
  <c r="G121" i="1" s="1"/>
  <c r="G52" i="1" a="1"/>
  <c r="G52" i="1" s="1"/>
  <c r="G153" i="1" a="1"/>
  <c r="G153" i="1" s="1"/>
  <c r="G183" i="1" a="1"/>
  <c r="G183" i="1" s="1"/>
  <c r="G49" i="1" a="1"/>
  <c r="G49" i="1" s="1"/>
  <c r="G37" i="1" a="1"/>
  <c r="G37" i="1" s="1"/>
  <c r="G158" i="1" a="1"/>
  <c r="G158" i="1" s="1"/>
  <c r="G53" i="1" a="1"/>
  <c r="G53" i="1" s="1"/>
  <c r="G174" i="1" a="1"/>
  <c r="G174" i="1" s="1"/>
  <c r="G190" i="1" a="1"/>
  <c r="G190" i="1" s="1"/>
  <c r="G67" i="1" a="1"/>
  <c r="G67" i="1" s="1"/>
  <c r="G123" i="1" a="1"/>
  <c r="G123" i="1" s="1"/>
  <c r="G148" i="1" a="1"/>
  <c r="G148" i="1" s="1"/>
  <c r="G139" i="1" a="1"/>
  <c r="G139" i="1" s="1"/>
  <c r="G129" i="1" a="1"/>
  <c r="G129" i="1" s="1"/>
  <c r="G149" i="1" a="1"/>
  <c r="G149" i="1" s="1"/>
  <c r="G155" i="1" a="1"/>
  <c r="G155" i="1" s="1"/>
  <c r="G163" i="1" a="1"/>
  <c r="G163" i="1" s="1"/>
  <c r="G196" i="1" a="1"/>
  <c r="G196" i="1" s="1"/>
  <c r="G197" i="1" a="1"/>
  <c r="G197" i="1" s="1"/>
  <c r="G55" i="1" a="1"/>
  <c r="G55" i="1" s="1"/>
  <c r="G9" i="1" a="1"/>
  <c r="G9" i="1" s="1"/>
  <c r="G122" i="1" a="1"/>
  <c r="G122" i="1" s="1"/>
  <c r="G187" i="1" a="1"/>
  <c r="G187" i="1" s="1"/>
  <c r="G159" i="1" a="1"/>
  <c r="G159" i="1" s="1"/>
  <c r="G98" i="1" a="1"/>
  <c r="G98" i="1" s="1"/>
  <c r="G130" i="1" a="1"/>
  <c r="G130" i="1" s="1"/>
  <c r="G32" i="1" a="1"/>
  <c r="G32" i="1" s="1"/>
  <c r="G169" i="1" a="1"/>
  <c r="G169" i="1" s="1"/>
  <c r="G84" i="1" a="1"/>
  <c r="G84" i="1" s="1"/>
  <c r="G65" i="1" a="1"/>
  <c r="G65" i="1" s="1"/>
  <c r="G107" i="1" a="1"/>
  <c r="G107" i="1" s="1"/>
  <c r="G117" i="1" a="1"/>
  <c r="G117" i="1" s="1"/>
  <c r="G83" i="1" a="1"/>
  <c r="G83" i="1" s="1"/>
  <c r="G99" i="1" a="1"/>
  <c r="G99" i="1" s="1"/>
  <c r="G74" i="1" a="1"/>
  <c r="G74" i="1" s="1"/>
  <c r="G70" i="1" a="1"/>
  <c r="G70" i="1" s="1"/>
  <c r="G71" i="1" a="1"/>
  <c r="G71" i="1" s="1"/>
  <c r="G138" i="1" a="1"/>
  <c r="G138" i="1" s="1"/>
  <c r="G77" i="1" a="1"/>
  <c r="G77" i="1" s="1"/>
  <c r="K2" i="1"/>
  <c r="G116" i="1" s="1" a="1"/>
  <c r="G116" i="1" s="1"/>
  <c r="G21" i="1" a="1"/>
  <c r="G21" i="1" s="1"/>
  <c r="G72" i="1" a="1"/>
  <c r="G72" i="1" s="1"/>
  <c r="G85" i="1" a="1"/>
  <c r="G85" i="1" s="1"/>
  <c r="G110" i="1" a="1"/>
  <c r="G110" i="1" s="1"/>
  <c r="G137" i="1" a="1"/>
  <c r="G137" i="1" s="1"/>
  <c r="G162" i="1" a="1"/>
  <c r="G162" i="1" s="1"/>
  <c r="G188" i="1" a="1"/>
  <c r="G188" i="1" s="1"/>
  <c r="G124" i="1" a="1"/>
  <c r="G124" i="1" s="1"/>
  <c r="G175" i="1" a="1"/>
  <c r="G175" i="1" s="1"/>
  <c r="G8" i="1" a="1"/>
  <c r="G8" i="1" s="1"/>
  <c r="G179" i="1" a="1"/>
  <c r="G179" i="1" s="1"/>
  <c r="G12" i="1" a="1"/>
  <c r="G12" i="1" s="1"/>
  <c r="G50" i="1" a="1"/>
  <c r="G50" i="1" s="1"/>
  <c r="G63" i="1" a="1"/>
  <c r="G63" i="1" s="1"/>
  <c r="G76" i="1" a="1"/>
  <c r="G76" i="1" s="1"/>
  <c r="G114" i="1" a="1"/>
  <c r="G114" i="1" s="1"/>
  <c r="G128" i="1" a="1"/>
  <c r="G128" i="1" s="1"/>
  <c r="G166" i="1" a="1"/>
  <c r="G166" i="1" s="1"/>
  <c r="G193" i="1" a="1"/>
  <c r="G193" i="1" s="1"/>
  <c r="G41" i="1" a="1"/>
  <c r="G41" i="1" s="1"/>
  <c r="G26" i="1" a="1"/>
  <c r="G26" i="1" s="1"/>
  <c r="G90" i="1" a="1"/>
  <c r="G90" i="1" s="1"/>
  <c r="G168" i="1" a="1"/>
  <c r="G168" i="1" s="1"/>
  <c r="G181" i="1" a="1"/>
  <c r="G181" i="1" s="1"/>
  <c r="G194" i="1" a="1"/>
  <c r="G194" i="1" s="1"/>
  <c r="G118" i="1" a="1"/>
  <c r="G118" i="1" s="1"/>
  <c r="G144" i="1" a="1"/>
  <c r="G144" i="1" s="1"/>
  <c r="G28" i="1" a="1"/>
  <c r="G28" i="1" s="1"/>
  <c r="G66" i="1" a="1"/>
  <c r="G66" i="1" s="1"/>
  <c r="G79" i="1" a="1"/>
  <c r="G79" i="1" s="1"/>
  <c r="G92" i="1" a="1"/>
  <c r="G92" i="1" s="1"/>
  <c r="G131" i="1" a="1"/>
  <c r="G131" i="1" s="1"/>
  <c r="G182" i="1" a="1"/>
  <c r="G182" i="1" s="1"/>
  <c r="G15" i="1" a="1"/>
  <c r="G15" i="1" s="1"/>
  <c r="G59" i="1" a="1"/>
  <c r="G59" i="1" s="1"/>
  <c r="G184" i="1" a="1"/>
  <c r="G184" i="1" s="1"/>
  <c r="G198" i="1" a="1"/>
  <c r="G198" i="1" s="1"/>
  <c r="G46" i="1" a="1"/>
  <c r="G46" i="1" s="1"/>
  <c r="G56" i="1" a="1"/>
  <c r="G56" i="1" s="1"/>
  <c r="G69" i="1" a="1"/>
  <c r="G69" i="1" s="1"/>
  <c r="G146" i="1" a="1"/>
  <c r="G146" i="1" s="1"/>
  <c r="G172" i="1" a="1"/>
  <c r="G172" i="1" s="1"/>
  <c r="G18" i="1" a="1"/>
  <c r="G18" i="1" s="1"/>
  <c r="G31" i="1" a="1"/>
  <c r="G31" i="1" s="1"/>
  <c r="G44" i="1" a="1"/>
  <c r="G44" i="1" s="1"/>
  <c r="G82" i="1" a="1"/>
  <c r="G82" i="1" s="1"/>
  <c r="G95" i="1" a="1"/>
  <c r="G95" i="1" s="1"/>
  <c r="G108" i="1" a="1"/>
  <c r="G108" i="1" s="1"/>
  <c r="G134" i="1" a="1"/>
  <c r="G134" i="1" s="1"/>
  <c r="G147" i="1" a="1"/>
  <c r="G147" i="1" s="1"/>
  <c r="G160" i="1" a="1"/>
  <c r="G160" i="1" s="1"/>
  <c r="G27" i="1" a="1"/>
  <c r="G27" i="1" s="1"/>
  <c r="G185" i="1" a="1"/>
  <c r="G185" i="1" s="1"/>
  <c r="G100" i="1" a="1"/>
  <c r="G100" i="1" s="1"/>
  <c r="G189" i="1" a="1"/>
  <c r="G189" i="1" s="1"/>
  <c r="G132" i="1" a="1"/>
  <c r="G132" i="1" s="1"/>
  <c r="G157" i="1" a="1"/>
  <c r="G157" i="1" s="1"/>
  <c r="G23" i="1" a="1"/>
  <c r="G23" i="1" s="1"/>
  <c r="G115" i="1" a="1"/>
  <c r="G115" i="1" s="1"/>
  <c r="G161" i="1" a="1"/>
  <c r="G161" i="1" s="1"/>
  <c r="G177" i="1" a="1"/>
  <c r="G177" i="1" s="1"/>
  <c r="G195" i="1" a="1"/>
  <c r="G195" i="1" s="1"/>
  <c r="G38" i="1" a="1"/>
  <c r="G38" i="1" s="1"/>
  <c r="G25" i="1" a="1"/>
  <c r="G25" i="1" s="1"/>
  <c r="G141" i="1" a="1"/>
  <c r="G141" i="1" s="1"/>
  <c r="G86" i="1" a="1"/>
  <c r="G86" i="1" s="1"/>
  <c r="G156" i="1" a="1"/>
  <c r="G156" i="1" s="1"/>
  <c r="G150" i="1" a="1"/>
  <c r="G150" i="1" s="1"/>
  <c r="G87" i="1" a="1"/>
  <c r="G87" i="1" s="1"/>
  <c r="G57" i="1" a="1"/>
  <c r="G57" i="1" s="1"/>
  <c r="G154" i="1" a="1"/>
  <c r="G154" i="1" s="1"/>
  <c r="G14" i="1" a="1"/>
  <c r="G14" i="1" s="1"/>
  <c r="G16" i="1" a="1"/>
  <c r="G16" i="1" s="1"/>
  <c r="G62" i="1" a="1"/>
  <c r="G62" i="1" s="1"/>
  <c r="G36" i="1" a="1"/>
  <c r="G36" i="1" s="1"/>
  <c r="G88" i="1" a="1"/>
  <c r="G88" i="1" s="1"/>
  <c r="G192" i="1" a="1"/>
  <c r="G192" i="1" s="1"/>
  <c r="G19" i="1" a="1"/>
  <c r="G19" i="1" s="1"/>
  <c r="G91" i="1" a="1"/>
  <c r="G91" i="1" s="1"/>
  <c r="G101" i="1" a="1"/>
  <c r="G101" i="1" s="1"/>
  <c r="G24" i="1" a="1"/>
  <c r="G24" i="1" s="1"/>
  <c r="G133" i="1" a="1"/>
  <c r="G133" i="1" s="1"/>
  <c r="G120" i="1" a="1"/>
  <c r="G120" i="1" s="1"/>
  <c r="G34" i="1" a="1"/>
  <c r="G34" i="1" s="1"/>
  <c r="G104" i="1" a="1"/>
  <c r="G104" i="1" s="1"/>
  <c r="G29" i="1" a="1"/>
  <c r="G29" i="1" s="1"/>
  <c r="G140" i="1" a="1"/>
  <c r="G140" i="1" s="1"/>
  <c r="G103" i="1" a="1"/>
  <c r="G103" i="1" s="1"/>
  <c r="G73" i="1" a="1"/>
  <c r="G73" i="1" s="1"/>
  <c r="G170" i="1" a="1"/>
  <c r="G170" i="1" s="1"/>
  <c r="G30" i="1" a="1"/>
  <c r="G30" i="1" s="1"/>
  <c r="G112" i="1" a="1"/>
  <c r="G112" i="1" s="1"/>
  <c r="G68" i="1" l="1" a="1"/>
  <c r="G6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<sst xmlns="http://schemas.openxmlformats.org/spreadsheetml/2006/main" count="212" uniqueCount="212">
  <si>
    <t>Month</t>
  </si>
  <si>
    <t>fecha</t>
  </si>
  <si>
    <t>Cost</t>
  </si>
  <si>
    <t>1991 jul.</t>
  </si>
  <si>
    <t>1991 ago.</t>
  </si>
  <si>
    <t>1991 sep.</t>
  </si>
  <si>
    <t>1991 oct.</t>
  </si>
  <si>
    <t>1991 nov.</t>
  </si>
  <si>
    <t>1991 dic.</t>
  </si>
  <si>
    <t>1992 ene.</t>
  </si>
  <si>
    <t>1992 feb.</t>
  </si>
  <si>
    <t>1992 mar.</t>
  </si>
  <si>
    <t>1992 abr.</t>
  </si>
  <si>
    <t>1992 may.</t>
  </si>
  <si>
    <t>1992 jun.</t>
  </si>
  <si>
    <t>1992 jul.</t>
  </si>
  <si>
    <t>1992 ago.</t>
  </si>
  <si>
    <t>1992 sep.</t>
  </si>
  <si>
    <t>1992 oct.</t>
  </si>
  <si>
    <t>1992 nov.</t>
  </si>
  <si>
    <t>1992 dic.</t>
  </si>
  <si>
    <t>1993 ene.</t>
  </si>
  <si>
    <t>1993 feb.</t>
  </si>
  <si>
    <t>1993 mar.</t>
  </si>
  <si>
    <t>1993 abr.</t>
  </si>
  <si>
    <t>1993 may.</t>
  </si>
  <si>
    <t>1993 jun.</t>
  </si>
  <si>
    <t>1993 jul.</t>
  </si>
  <si>
    <t>1993 ago.</t>
  </si>
  <si>
    <t>1993 sep.</t>
  </si>
  <si>
    <t>1993 oct.</t>
  </si>
  <si>
    <t>1993 nov.</t>
  </si>
  <si>
    <t>1993 dic.</t>
  </si>
  <si>
    <t>1994 ene.</t>
  </si>
  <si>
    <t>1994 feb.</t>
  </si>
  <si>
    <t>1994 mar.</t>
  </si>
  <si>
    <t>1994 abr.</t>
  </si>
  <si>
    <t>1994 may.</t>
  </si>
  <si>
    <t>1994 jun.</t>
  </si>
  <si>
    <t>1994 jul.</t>
  </si>
  <si>
    <t>1994 ago.</t>
  </si>
  <si>
    <t>1994 sep.</t>
  </si>
  <si>
    <t>1994 oct.</t>
  </si>
  <si>
    <t>1994 nov.</t>
  </si>
  <si>
    <t>1994 dic.</t>
  </si>
  <si>
    <t>1995 ene.</t>
  </si>
  <si>
    <t>1995 feb.</t>
  </si>
  <si>
    <t>1995 mar.</t>
  </si>
  <si>
    <t>1995 abr.</t>
  </si>
  <si>
    <t>1995 may.</t>
  </si>
  <si>
    <t>1995 jun.</t>
  </si>
  <si>
    <t>1995 jul.</t>
  </si>
  <si>
    <t>1995 ago.</t>
  </si>
  <si>
    <t>1995 sep.</t>
  </si>
  <si>
    <t>1995 oct.</t>
  </si>
  <si>
    <t>1995 nov.</t>
  </si>
  <si>
    <t>1995 dic.</t>
  </si>
  <si>
    <t>1996 ene.</t>
  </si>
  <si>
    <t>1996 feb.</t>
  </si>
  <si>
    <t>1996 mar.</t>
  </si>
  <si>
    <t>1996 abr.</t>
  </si>
  <si>
    <t>1996 may.</t>
  </si>
  <si>
    <t>1996 jun.</t>
  </si>
  <si>
    <t>1996 jul.</t>
  </si>
  <si>
    <t>1996 ago.</t>
  </si>
  <si>
    <t>1996 sep.</t>
  </si>
  <si>
    <t>1996 oct.</t>
  </si>
  <si>
    <t>1996 nov.</t>
  </si>
  <si>
    <t>1996 dic.</t>
  </si>
  <si>
    <t>1997 ene.</t>
  </si>
  <si>
    <t>1997 feb.</t>
  </si>
  <si>
    <t>1997 mar.</t>
  </si>
  <si>
    <t>1997 abr.</t>
  </si>
  <si>
    <t>1997 may.</t>
  </si>
  <si>
    <t>1997 jun.</t>
  </si>
  <si>
    <t>1997 jul.</t>
  </si>
  <si>
    <t>1997 ago.</t>
  </si>
  <si>
    <t>1997 sep.</t>
  </si>
  <si>
    <t>1997 oct.</t>
  </si>
  <si>
    <t>1997 nov.</t>
  </si>
  <si>
    <t>1997 dic.</t>
  </si>
  <si>
    <t>1998 ene.</t>
  </si>
  <si>
    <t>1998 feb.</t>
  </si>
  <si>
    <t>1998 mar.</t>
  </si>
  <si>
    <t>1998 abr.</t>
  </si>
  <si>
    <t>1998 may.</t>
  </si>
  <si>
    <t>1998 jun.</t>
  </si>
  <si>
    <t>1998 jul.</t>
  </si>
  <si>
    <t>1998 ago.</t>
  </si>
  <si>
    <t>1998 sep.</t>
  </si>
  <si>
    <t>1998 oct.</t>
  </si>
  <si>
    <t>1998 nov.</t>
  </si>
  <si>
    <t>1998 dic.</t>
  </si>
  <si>
    <t>1999 ene.</t>
  </si>
  <si>
    <t>1999 feb.</t>
  </si>
  <si>
    <t>1999 mar.</t>
  </si>
  <si>
    <t>1999 abr.</t>
  </si>
  <si>
    <t>1999 may.</t>
  </si>
  <si>
    <t>1999 jun.</t>
  </si>
  <si>
    <t>1999 jul.</t>
  </si>
  <si>
    <t>1999 ago.</t>
  </si>
  <si>
    <t>1999 sep.</t>
  </si>
  <si>
    <t>1999 oct.</t>
  </si>
  <si>
    <t>1999 nov.</t>
  </si>
  <si>
    <t>1999 dic.</t>
  </si>
  <si>
    <t>2000 ene.</t>
  </si>
  <si>
    <t>2000 feb.</t>
  </si>
  <si>
    <t>2000 mar.</t>
  </si>
  <si>
    <t>2000 abr.</t>
  </si>
  <si>
    <t>2000 may.</t>
  </si>
  <si>
    <t>2000 jun.</t>
  </si>
  <si>
    <t>2000 jul.</t>
  </si>
  <si>
    <t>2000 ago.</t>
  </si>
  <si>
    <t>2000 sep.</t>
  </si>
  <si>
    <t>2000 oct.</t>
  </si>
  <si>
    <t>2000 nov.</t>
  </si>
  <si>
    <t>2000 dic.</t>
  </si>
  <si>
    <t>2001 ene.</t>
  </si>
  <si>
    <t>2001 feb.</t>
  </si>
  <si>
    <t>2001 mar.</t>
  </si>
  <si>
    <t>2001 abr.</t>
  </si>
  <si>
    <t>2001 may.</t>
  </si>
  <si>
    <t>2001 jun.</t>
  </si>
  <si>
    <t>2001 jul.</t>
  </si>
  <si>
    <t>2001 ago.</t>
  </si>
  <si>
    <t>2001 sep.</t>
  </si>
  <si>
    <t>2001 oct.</t>
  </si>
  <si>
    <t>2001 nov.</t>
  </si>
  <si>
    <t>2001 dic.</t>
  </si>
  <si>
    <t>2002 ene.</t>
  </si>
  <si>
    <t>2002 feb.</t>
  </si>
  <si>
    <t>2002 mar.</t>
  </si>
  <si>
    <t>2002 abr.</t>
  </si>
  <si>
    <t>2002 may.</t>
  </si>
  <si>
    <t>2002 jun.</t>
  </si>
  <si>
    <t>2002 jul.</t>
  </si>
  <si>
    <t>2002 ago.</t>
  </si>
  <si>
    <t>2002 sep.</t>
  </si>
  <si>
    <t>2002 oct.</t>
  </si>
  <si>
    <t>2002 nov.</t>
  </si>
  <si>
    <t>2002 dic.</t>
  </si>
  <si>
    <t>2003 ene.</t>
  </si>
  <si>
    <t>2003 feb.</t>
  </si>
  <si>
    <t>2003 mar.</t>
  </si>
  <si>
    <t>2003 abr.</t>
  </si>
  <si>
    <t>2003 may.</t>
  </si>
  <si>
    <t>2003 jun.</t>
  </si>
  <si>
    <t>2003 jul.</t>
  </si>
  <si>
    <t>2003 ago.</t>
  </si>
  <si>
    <t>2003 sep.</t>
  </si>
  <si>
    <t>2003 oct.</t>
  </si>
  <si>
    <t>2003 nov.</t>
  </si>
  <si>
    <t>2003 dic.</t>
  </si>
  <si>
    <t>2004 ene.</t>
  </si>
  <si>
    <t>2004 feb.</t>
  </si>
  <si>
    <t>2004 mar.</t>
  </si>
  <si>
    <t>2004 abr.</t>
  </si>
  <si>
    <t>2004 may.</t>
  </si>
  <si>
    <t>2004 jun.</t>
  </si>
  <si>
    <t>2004 jul.</t>
  </si>
  <si>
    <t>2004 ago.</t>
  </si>
  <si>
    <t>2004 sep.</t>
  </si>
  <si>
    <t>2004 oct.</t>
  </si>
  <si>
    <t>2004 nov.</t>
  </si>
  <si>
    <t>2004 dic.</t>
  </si>
  <si>
    <t>2005 ene.</t>
  </si>
  <si>
    <t>2005 feb.</t>
  </si>
  <si>
    <t>2005 mar.</t>
  </si>
  <si>
    <t>2005 abr.</t>
  </si>
  <si>
    <t>2005 may.</t>
  </si>
  <si>
    <t>2005 jun.</t>
  </si>
  <si>
    <t>2005 jul.</t>
  </si>
  <si>
    <t>2005 ago.</t>
  </si>
  <si>
    <t>2005 sep.</t>
  </si>
  <si>
    <t>2005 oct.</t>
  </si>
  <si>
    <t>2005 nov.</t>
  </si>
  <si>
    <t>2005 dic.</t>
  </si>
  <si>
    <t>2006 ene.</t>
  </si>
  <si>
    <t>2006 feb.</t>
  </si>
  <si>
    <t>2006 mar.</t>
  </si>
  <si>
    <t>2006 abr.</t>
  </si>
  <si>
    <t>2006 may.</t>
  </si>
  <si>
    <t>2006 jun.</t>
  </si>
  <si>
    <t>2006 jul.</t>
  </si>
  <si>
    <t>2006 ago.</t>
  </si>
  <si>
    <t>2006 sep.</t>
  </si>
  <si>
    <t>2006 oct.</t>
  </si>
  <si>
    <t>2006 nov.</t>
  </si>
  <si>
    <t>2006 dic.</t>
  </si>
  <si>
    <t>2007 ene.</t>
  </si>
  <si>
    <t>2007 feb.</t>
  </si>
  <si>
    <t>2007 mar.</t>
  </si>
  <si>
    <t>2007 abr.</t>
  </si>
  <si>
    <t>2007 may.</t>
  </si>
  <si>
    <t>2007 jun.</t>
  </si>
  <si>
    <t>2007 jul.</t>
  </si>
  <si>
    <t>2007 ago.</t>
  </si>
  <si>
    <t>2007 sep.</t>
  </si>
  <si>
    <t>2007 oct.</t>
  </si>
  <si>
    <t>2007 nov.</t>
  </si>
  <si>
    <t>2007 dic.</t>
  </si>
  <si>
    <t>2008 ene.</t>
  </si>
  <si>
    <t>2008 feb.</t>
  </si>
  <si>
    <t>2008 mar.</t>
  </si>
  <si>
    <t>2008 abr.</t>
  </si>
  <si>
    <t>2008 may.</t>
  </si>
  <si>
    <t>2008 jun.</t>
  </si>
  <si>
    <t>Tendencia</t>
  </si>
  <si>
    <t>Serie sin tendencia</t>
  </si>
  <si>
    <t>Mes</t>
  </si>
  <si>
    <t>Estacionalidad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</si>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</sst>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Serie original y tendencia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medicinas!$C$1</c:f>
              <c:strCache>
                <c:ptCount val="1"/>
                <c:pt idx="0">
                  <c:v>Cost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medicinas!$C$2:$C$205</c:f>
              <c:numCache>
                <c:formatCode>General</c:formatCode>
                <c:ptCount val="204"/>
                <c:pt idx="0">
                  <c:v>0.42979499999999998</c:v>
                </c:pt>
                <c:pt idx="1">
                  <c:v>0.40090599999999998</c:v>
                </c:pt>
                <c:pt idx="2">
                  <c:v>0.43215900000000002</c:v>
                </c:pt>
                <c:pt idx="3">
                  <c:v>0.49254300000000001</c:v>
                </c:pt>
                <c:pt idx="4">
                  <c:v>0.50236899999999995</c:v>
                </c:pt>
                <c:pt idx="5">
                  <c:v>0.60265199999999997</c:v>
                </c:pt>
                <c:pt idx="6">
                  <c:v>0.66011900000000001</c:v>
                </c:pt>
                <c:pt idx="7">
                  <c:v>0.33622000000000002</c:v>
                </c:pt>
                <c:pt idx="8">
                  <c:v>0.35134799999999999</c:v>
                </c:pt>
                <c:pt idx="9">
                  <c:v>0.37980799999999998</c:v>
                </c:pt>
                <c:pt idx="10">
                  <c:v>0.36180099999999998</c:v>
                </c:pt>
                <c:pt idx="11">
                  <c:v>0.41053400000000001</c:v>
                </c:pt>
                <c:pt idx="12">
                  <c:v>0.48338866999999902</c:v>
                </c:pt>
                <c:pt idx="13">
                  <c:v>0.47546341999999903</c:v>
                </c:pt>
                <c:pt idx="14">
                  <c:v>0.53476104000000002</c:v>
                </c:pt>
                <c:pt idx="15">
                  <c:v>0.56860613000000004</c:v>
                </c:pt>
                <c:pt idx="16">
                  <c:v>0.59522328999999996</c:v>
                </c:pt>
                <c:pt idx="17">
                  <c:v>0.77125778</c:v>
                </c:pt>
                <c:pt idx="18">
                  <c:v>0.75150280000000003</c:v>
                </c:pt>
                <c:pt idx="19">
                  <c:v>0.38755434</c:v>
                </c:pt>
                <c:pt idx="20">
                  <c:v>0.42728322000000002</c:v>
                </c:pt>
                <c:pt idx="21">
                  <c:v>0.41389018</c:v>
                </c:pt>
                <c:pt idx="22">
                  <c:v>0.42885881999999997</c:v>
                </c:pt>
                <c:pt idx="23">
                  <c:v>0.47012641999999999</c:v>
                </c:pt>
                <c:pt idx="24">
                  <c:v>0.50920969000000005</c:v>
                </c:pt>
                <c:pt idx="25">
                  <c:v>0.55844300000000002</c:v>
                </c:pt>
                <c:pt idx="26">
                  <c:v>0.60151405999999996</c:v>
                </c:pt>
                <c:pt idx="27">
                  <c:v>0.63294709999999998</c:v>
                </c:pt>
                <c:pt idx="28">
                  <c:v>0.69960538999999999</c:v>
                </c:pt>
                <c:pt idx="29">
                  <c:v>0.96308050999999995</c:v>
                </c:pt>
                <c:pt idx="30">
                  <c:v>0.81932534000000001</c:v>
                </c:pt>
                <c:pt idx="31">
                  <c:v>0.4376698</c:v>
                </c:pt>
                <c:pt idx="32">
                  <c:v>0.50612126999999996</c:v>
                </c:pt>
                <c:pt idx="33">
                  <c:v>0.47049116999999901</c:v>
                </c:pt>
                <c:pt idx="34">
                  <c:v>0.51069625999999901</c:v>
                </c:pt>
                <c:pt idx="35">
                  <c:v>0.54051378999999999</c:v>
                </c:pt>
                <c:pt idx="36">
                  <c:v>0.55811891999999996</c:v>
                </c:pt>
                <c:pt idx="37">
                  <c:v>0.67285205999999997</c:v>
                </c:pt>
                <c:pt idx="38">
                  <c:v>0.68589738</c:v>
                </c:pt>
                <c:pt idx="39">
                  <c:v>0.68969197999999998</c:v>
                </c:pt>
                <c:pt idx="40">
                  <c:v>0.74130357999999996</c:v>
                </c:pt>
                <c:pt idx="41">
                  <c:v>0.81330762999999995</c:v>
                </c:pt>
                <c:pt idx="42">
                  <c:v>0.80311257000000003</c:v>
                </c:pt>
                <c:pt idx="43">
                  <c:v>0.47525824</c:v>
                </c:pt>
                <c:pt idx="44">
                  <c:v>0.55257229999999902</c:v>
                </c:pt>
                <c:pt idx="45">
                  <c:v>0.52710781999999901</c:v>
                </c:pt>
                <c:pt idx="46">
                  <c:v>0.56124981999999901</c:v>
                </c:pt>
                <c:pt idx="47">
                  <c:v>0.58897763999999997</c:v>
                </c:pt>
                <c:pt idx="48">
                  <c:v>0.62313361999999906</c:v>
                </c:pt>
                <c:pt idx="49">
                  <c:v>0.74083723000000001</c:v>
                </c:pt>
                <c:pt idx="50">
                  <c:v>0.72537176000000003</c:v>
                </c:pt>
                <c:pt idx="51">
                  <c:v>0.81580302000000005</c:v>
                </c:pt>
                <c:pt idx="52">
                  <c:v>0.81400947000000001</c:v>
                </c:pt>
                <c:pt idx="53">
                  <c:v>0.92665304999999998</c:v>
                </c:pt>
                <c:pt idx="54">
                  <c:v>0.93727594000000003</c:v>
                </c:pt>
                <c:pt idx="55">
                  <c:v>0.52876164999999997</c:v>
                </c:pt>
                <c:pt idx="56">
                  <c:v>0.55933993999999998</c:v>
                </c:pt>
                <c:pt idx="57">
                  <c:v>0.57787165999999901</c:v>
                </c:pt>
                <c:pt idx="58">
                  <c:v>0.61492740999999995</c:v>
                </c:pt>
                <c:pt idx="59">
                  <c:v>0.59418877000000003</c:v>
                </c:pt>
                <c:pt idx="60">
                  <c:v>0.70775843999999999</c:v>
                </c:pt>
                <c:pt idx="61">
                  <c:v>0.71950194999999995</c:v>
                </c:pt>
                <c:pt idx="62">
                  <c:v>0.74432368999999998</c:v>
                </c:pt>
                <c:pt idx="63">
                  <c:v>0.80485510999999998</c:v>
                </c:pt>
                <c:pt idx="64">
                  <c:v>0.78854234999999995</c:v>
                </c:pt>
                <c:pt idx="65">
                  <c:v>0.97108939999999999</c:v>
                </c:pt>
                <c:pt idx="66">
                  <c:v>0.84683354</c:v>
                </c:pt>
                <c:pt idx="67">
                  <c:v>0.46382251999999902</c:v>
                </c:pt>
                <c:pt idx="68">
                  <c:v>0.48527316999999998</c:v>
                </c:pt>
                <c:pt idx="69">
                  <c:v>0.52805859999999905</c:v>
                </c:pt>
                <c:pt idx="70">
                  <c:v>0.56233646999999998</c:v>
                </c:pt>
                <c:pt idx="71">
                  <c:v>0.58857040000000005</c:v>
                </c:pt>
                <c:pt idx="72">
                  <c:v>0.66948036</c:v>
                </c:pt>
                <c:pt idx="73">
                  <c:v>0.67799365</c:v>
                </c:pt>
                <c:pt idx="74">
                  <c:v>0.76299549</c:v>
                </c:pt>
                <c:pt idx="75">
                  <c:v>0.79972374000000002</c:v>
                </c:pt>
                <c:pt idx="76">
                  <c:v>0.77052191999999997</c:v>
                </c:pt>
                <c:pt idx="77">
                  <c:v>0.99438934000000001</c:v>
                </c:pt>
                <c:pt idx="78">
                  <c:v>0.80054442999999997</c:v>
                </c:pt>
                <c:pt idx="79">
                  <c:v>0.49055721000000002</c:v>
                </c:pt>
                <c:pt idx="80">
                  <c:v>0.52440799000000005</c:v>
                </c:pt>
                <c:pt idx="81">
                  <c:v>0.53664948000000001</c:v>
                </c:pt>
                <c:pt idx="82">
                  <c:v>0.55209054000000002</c:v>
                </c:pt>
                <c:pt idx="83">
                  <c:v>0.60336564000000004</c:v>
                </c:pt>
                <c:pt idx="84">
                  <c:v>0.68124538000000001</c:v>
                </c:pt>
                <c:pt idx="85">
                  <c:v>0.67807534999999997</c:v>
                </c:pt>
                <c:pt idx="86">
                  <c:v>0.79489264999999998</c:v>
                </c:pt>
                <c:pt idx="87">
                  <c:v>0.78462390000000004</c:v>
                </c:pt>
                <c:pt idx="88">
                  <c:v>0.81300870000000003</c:v>
                </c:pt>
                <c:pt idx="89">
                  <c:v>0.9777323</c:v>
                </c:pt>
                <c:pt idx="90">
                  <c:v>0.89308147999999998</c:v>
                </c:pt>
                <c:pt idx="91">
                  <c:v>0.51269597</c:v>
                </c:pt>
                <c:pt idx="92">
                  <c:v>0.65299589000000002</c:v>
                </c:pt>
                <c:pt idx="93">
                  <c:v>0.57397640000000005</c:v>
                </c:pt>
                <c:pt idx="94">
                  <c:v>0.63923841999999997</c:v>
                </c:pt>
                <c:pt idx="95">
                  <c:v>0.70387188000000001</c:v>
                </c:pt>
                <c:pt idx="96">
                  <c:v>0.77064823999999998</c:v>
                </c:pt>
                <c:pt idx="97">
                  <c:v>0.84618587999999995</c:v>
                </c:pt>
                <c:pt idx="98">
                  <c:v>0.89272889</c:v>
                </c:pt>
                <c:pt idx="99">
                  <c:v>0.89789987999999998</c:v>
                </c:pt>
                <c:pt idx="100">
                  <c:v>0.94728069000000004</c:v>
                </c:pt>
                <c:pt idx="101">
                  <c:v>1.05070727</c:v>
                </c:pt>
                <c:pt idx="102">
                  <c:v>0.96965566999999997</c:v>
                </c:pt>
                <c:pt idx="103">
                  <c:v>0.57329151</c:v>
                </c:pt>
                <c:pt idx="104">
                  <c:v>0.61850684</c:v>
                </c:pt>
                <c:pt idx="105">
                  <c:v>0.61899572999999997</c:v>
                </c:pt>
                <c:pt idx="106">
                  <c:v>0.66520921999999905</c:v>
                </c:pt>
                <c:pt idx="107">
                  <c:v>0.72652015000000003</c:v>
                </c:pt>
                <c:pt idx="108">
                  <c:v>0.85586493999999902</c:v>
                </c:pt>
                <c:pt idx="109">
                  <c:v>0.86598428999999999</c:v>
                </c:pt>
                <c:pt idx="110">
                  <c:v>0.82524883000000004</c:v>
                </c:pt>
                <c:pt idx="111">
                  <c:v>0.95542101999999995</c:v>
                </c:pt>
                <c:pt idx="112">
                  <c:v>0.93859596000000001</c:v>
                </c:pt>
                <c:pt idx="113">
                  <c:v>1.01302442</c:v>
                </c:pt>
                <c:pt idx="114">
                  <c:v>1.04380535</c:v>
                </c:pt>
                <c:pt idx="115">
                  <c:v>0.51064725</c:v>
                </c:pt>
                <c:pt idx="116">
                  <c:v>0.67256900999999902</c:v>
                </c:pt>
                <c:pt idx="117">
                  <c:v>0.64847005999999996</c:v>
                </c:pt>
                <c:pt idx="118">
                  <c:v>0.70411469000000004</c:v>
                </c:pt>
                <c:pt idx="119">
                  <c:v>0.69943074999999999</c:v>
                </c:pt>
                <c:pt idx="120">
                  <c:v>0.85192586999999997</c:v>
                </c:pt>
                <c:pt idx="121">
                  <c:v>0.90770519999999999</c:v>
                </c:pt>
                <c:pt idx="122">
                  <c:v>0.86744447000000002</c:v>
                </c:pt>
                <c:pt idx="123">
                  <c:v>1.0242928099999999</c:v>
                </c:pt>
                <c:pt idx="124">
                  <c:v>1.1095902200000001</c:v>
                </c:pt>
                <c:pt idx="125">
                  <c:v>1.01231323</c:v>
                </c:pt>
                <c:pt idx="126">
                  <c:v>1.14586761</c:v>
                </c:pt>
                <c:pt idx="127">
                  <c:v>0.57558438000000001</c:v>
                </c:pt>
                <c:pt idx="128">
                  <c:v>0.64116459000000003</c:v>
                </c:pt>
                <c:pt idx="129">
                  <c:v>0.67986206999999999</c:v>
                </c:pt>
                <c:pt idx="130">
                  <c:v>0.76793839999999902</c:v>
                </c:pt>
                <c:pt idx="131">
                  <c:v>0.75209590999999998</c:v>
                </c:pt>
                <c:pt idx="132">
                  <c:v>0.91806358999999904</c:v>
                </c:pt>
                <c:pt idx="133">
                  <c:v>0.92436753000000005</c:v>
                </c:pt>
                <c:pt idx="134">
                  <c:v>1.0131976699999901</c:v>
                </c:pt>
                <c:pt idx="135">
                  <c:v>1.02697609</c:v>
                </c:pt>
                <c:pt idx="136">
                  <c:v>1.00679597</c:v>
                </c:pt>
                <c:pt idx="137">
                  <c:v>1.1027756799999999</c:v>
                </c:pt>
                <c:pt idx="138">
                  <c:v>1.07814486999999</c:v>
                </c:pt>
                <c:pt idx="139">
                  <c:v>0.57829618999999999</c:v>
                </c:pt>
                <c:pt idx="140">
                  <c:v>0.64333331999999999</c:v>
                </c:pt>
                <c:pt idx="141">
                  <c:v>0.66336735000000002</c:v>
                </c:pt>
                <c:pt idx="142">
                  <c:v>0.75051599999999996</c:v>
                </c:pt>
                <c:pt idx="143">
                  <c:v>0.80074564000000004</c:v>
                </c:pt>
                <c:pt idx="144">
                  <c:v>0.91636103000000002</c:v>
                </c:pt>
                <c:pt idx="145">
                  <c:v>0.91688681999999999</c:v>
                </c:pt>
                <c:pt idx="146">
                  <c:v>1.08465893</c:v>
                </c:pt>
                <c:pt idx="147">
                  <c:v>1.1506482199999899</c:v>
                </c:pt>
                <c:pt idx="148">
                  <c:v>1.05083821</c:v>
                </c:pt>
                <c:pt idx="149">
                  <c:v>1.22323454</c:v>
                </c:pt>
                <c:pt idx="150">
                  <c:v>1.1301252099999901</c:v>
                </c:pt>
                <c:pt idx="151">
                  <c:v>0.66798866999999995</c:v>
                </c:pt>
                <c:pt idx="152">
                  <c:v>0.74901427999999903</c:v>
                </c:pt>
                <c:pt idx="153">
                  <c:v>0.73998602000000002</c:v>
                </c:pt>
                <c:pt idx="154">
                  <c:v>0.79512863</c:v>
                </c:pt>
                <c:pt idx="155">
                  <c:v>0.85680281999999997</c:v>
                </c:pt>
                <c:pt idx="156">
                  <c:v>1.00159317</c:v>
                </c:pt>
                <c:pt idx="157">
                  <c:v>0.99486432999999996</c:v>
                </c:pt>
                <c:pt idx="158">
                  <c:v>1.1344320000000001</c:v>
                </c:pt>
                <c:pt idx="159">
                  <c:v>1.181011</c:v>
                </c:pt>
                <c:pt idx="160">
                  <c:v>1.216037</c:v>
                </c:pt>
                <c:pt idx="161">
                  <c:v>1.2572380000000001</c:v>
                </c:pt>
                <c:pt idx="162">
                  <c:v>1.17069</c:v>
                </c:pt>
                <c:pt idx="163">
                  <c:v>0.59763900000000003</c:v>
                </c:pt>
                <c:pt idx="164">
                  <c:v>0.65259</c:v>
                </c:pt>
                <c:pt idx="165">
                  <c:v>0.67050500000000002</c:v>
                </c:pt>
                <c:pt idx="166">
                  <c:v>0.69524799999999998</c:v>
                </c:pt>
                <c:pt idx="167">
                  <c:v>0.84226299999999998</c:v>
                </c:pt>
                <c:pt idx="168">
                  <c:v>0.874336</c:v>
                </c:pt>
                <c:pt idx="169">
                  <c:v>1.006497</c:v>
                </c:pt>
                <c:pt idx="170">
                  <c:v>1.0947359999999999</c:v>
                </c:pt>
                <c:pt idx="171">
                  <c:v>1.0270429999999999</c:v>
                </c:pt>
                <c:pt idx="172">
                  <c:v>1.149232</c:v>
                </c:pt>
                <c:pt idx="173">
                  <c:v>1.160712</c:v>
                </c:pt>
                <c:pt idx="174">
                  <c:v>1.230691</c:v>
                </c:pt>
                <c:pt idx="175">
                  <c:v>0.58713499999999996</c:v>
                </c:pt>
                <c:pt idx="176">
                  <c:v>0.706959</c:v>
                </c:pt>
                <c:pt idx="177">
                  <c:v>0.63964100000000002</c:v>
                </c:pt>
                <c:pt idx="178">
                  <c:v>0.80740500000000004</c:v>
                </c:pt>
                <c:pt idx="179">
                  <c:v>0.79796999999999996</c:v>
                </c:pt>
                <c:pt idx="180">
                  <c:v>0.88431199999999999</c:v>
                </c:pt>
                <c:pt idx="181">
                  <c:v>1.0496479999999999</c:v>
                </c:pt>
                <c:pt idx="182">
                  <c:v>0.99570899999999996</c:v>
                </c:pt>
                <c:pt idx="183">
                  <c:v>1.168253</c:v>
                </c:pt>
                <c:pt idx="184">
                  <c:v>1.1080380000000001</c:v>
                </c:pt>
                <c:pt idx="185">
                  <c:v>1.120053</c:v>
                </c:pt>
                <c:pt idx="186">
                  <c:v>1.223319</c:v>
                </c:pt>
                <c:pt idx="187">
                  <c:v>0.59775299999999998</c:v>
                </c:pt>
                <c:pt idx="188">
                  <c:v>0.70439799999999997</c:v>
                </c:pt>
                <c:pt idx="189">
                  <c:v>0.56176000000000004</c:v>
                </c:pt>
                <c:pt idx="190">
                  <c:v>0.74525799999999998</c:v>
                </c:pt>
                <c:pt idx="191">
                  <c:v>0.83793399999999996</c:v>
                </c:pt>
                <c:pt idx="192">
                  <c:v>0.95414399999999999</c:v>
                </c:pt>
                <c:pt idx="193">
                  <c:v>1.0782194899999999</c:v>
                </c:pt>
                <c:pt idx="194">
                  <c:v>1.1109816100000001</c:v>
                </c:pt>
                <c:pt idx="195">
                  <c:v>1.1099791399999901</c:v>
                </c:pt>
                <c:pt idx="196">
                  <c:v>1.1635343</c:v>
                </c:pt>
                <c:pt idx="197">
                  <c:v>1.1765890000000001</c:v>
                </c:pt>
                <c:pt idx="198">
                  <c:v>1.2199409999999999</c:v>
                </c:pt>
                <c:pt idx="199">
                  <c:v>0.761822</c:v>
                </c:pt>
                <c:pt idx="200">
                  <c:v>0.64943499999999998</c:v>
                </c:pt>
                <c:pt idx="201">
                  <c:v>0.82788700000000004</c:v>
                </c:pt>
                <c:pt idx="202">
                  <c:v>0.81625499999999995</c:v>
                </c:pt>
                <c:pt idx="203">
                  <c:v>0.76213699999999995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6-4275-A3FC-BFE87B62FBBC}"/>
            </c:ext>
          </c:extLst>
        </c:ser>
        <c:ser>
          <c:idx val="1"/>
          <c:order val="1"/>
          <c:tx>
            <c:strRef>
              <c:f>medicinas!$D$1</c:f>
              <c:strCache>
                <c:ptCount val="1"/>
                <c:pt idx="0">
                  <c:v>Tendencia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medicinas!$D$2:$D$205</c:f>
              <c:numCache>
                <c:formatCode>General</c:formatCode>
                <c:ptCount val="204"/>
                <c:pt idx="5">
                  <c:v>0.44668783333333328</c:v>
                </c:pt>
                <c:pt idx="6">
                  <c:v>0.45115397249999983</c:v>
                </c:pt>
                <c:pt idx="7">
                  <c:v>0.45736709083333316</c:v>
                </c:pt>
                <c:pt idx="8">
                  <c:v>0.46591726083333312</c:v>
                </c:pt>
                <c:pt idx="9">
                  <c:v>0.47225585499999978</c:v>
                </c:pt>
                <c:pt idx="10">
                  <c:v>0.47999371249999984</c:v>
                </c:pt>
                <c:pt idx="11">
                  <c:v>0.49404419416666651</c:v>
                </c:pt>
                <c:pt idx="12">
                  <c:v>0.50165951083333316</c:v>
                </c:pt>
                <c:pt idx="13">
                  <c:v>0.50593737249999982</c:v>
                </c:pt>
                <c:pt idx="14">
                  <c:v>0.51226530749999977</c:v>
                </c:pt>
                <c:pt idx="15">
                  <c:v>0.51510548916666654</c:v>
                </c:pt>
                <c:pt idx="16">
                  <c:v>0.52069364083333325</c:v>
                </c:pt>
                <c:pt idx="17">
                  <c:v>0.52565967583333317</c:v>
                </c:pt>
                <c:pt idx="18">
                  <c:v>0.52781142749999999</c:v>
                </c:pt>
                <c:pt idx="19">
                  <c:v>0.53472639250000009</c:v>
                </c:pt>
                <c:pt idx="20">
                  <c:v>0.54028914416666662</c:v>
                </c:pt>
                <c:pt idx="21">
                  <c:v>0.54565089166666669</c:v>
                </c:pt>
                <c:pt idx="22">
                  <c:v>0.5543494000000001</c:v>
                </c:pt>
                <c:pt idx="23">
                  <c:v>0.57033462749999997</c:v>
                </c:pt>
                <c:pt idx="24">
                  <c:v>0.57598650583333333</c:v>
                </c:pt>
                <c:pt idx="25">
                  <c:v>0.58016279416666672</c:v>
                </c:pt>
                <c:pt idx="26">
                  <c:v>0.58673263166666667</c:v>
                </c:pt>
                <c:pt idx="27">
                  <c:v>0.5914493808333332</c:v>
                </c:pt>
                <c:pt idx="28">
                  <c:v>0.5982691674999997</c:v>
                </c:pt>
                <c:pt idx="29">
                  <c:v>0.60413478166666645</c:v>
                </c:pt>
                <c:pt idx="30">
                  <c:v>0.60821055083333309</c:v>
                </c:pt>
                <c:pt idx="31">
                  <c:v>0.61774463916666655</c:v>
                </c:pt>
                <c:pt idx="32">
                  <c:v>0.62477658249999979</c:v>
                </c:pt>
                <c:pt idx="33">
                  <c:v>0.62950532249999991</c:v>
                </c:pt>
                <c:pt idx="34">
                  <c:v>0.63298017166666665</c:v>
                </c:pt>
                <c:pt idx="35">
                  <c:v>0.62049909833333317</c:v>
                </c:pt>
                <c:pt idx="36">
                  <c:v>0.61914803416666653</c:v>
                </c:pt>
                <c:pt idx="37">
                  <c:v>0.62228040416666641</c:v>
                </c:pt>
                <c:pt idx="38">
                  <c:v>0.62615132333333301</c:v>
                </c:pt>
                <c:pt idx="39">
                  <c:v>0.63086937749999972</c:v>
                </c:pt>
                <c:pt idx="40">
                  <c:v>0.63508217416666624</c:v>
                </c:pt>
                <c:pt idx="41">
                  <c:v>0.63912082833333284</c:v>
                </c:pt>
                <c:pt idx="42">
                  <c:v>0.64453871999999945</c:v>
                </c:pt>
                <c:pt idx="43">
                  <c:v>0.65020415083333294</c:v>
                </c:pt>
                <c:pt idx="44">
                  <c:v>0.65349368249999962</c:v>
                </c:pt>
                <c:pt idx="45">
                  <c:v>0.66400293583333292</c:v>
                </c:pt>
                <c:pt idx="46">
                  <c:v>0.67006175999999973</c:v>
                </c:pt>
                <c:pt idx="47">
                  <c:v>0.67950721166666639</c:v>
                </c:pt>
                <c:pt idx="48">
                  <c:v>0.69068749249999961</c:v>
                </c:pt>
                <c:pt idx="49">
                  <c:v>0.69514610999999971</c:v>
                </c:pt>
                <c:pt idx="50">
                  <c:v>0.69571007999999968</c:v>
                </c:pt>
                <c:pt idx="51">
                  <c:v>0.69994039999999969</c:v>
                </c:pt>
                <c:pt idx="52">
                  <c:v>0.70441353249999972</c:v>
                </c:pt>
                <c:pt idx="53">
                  <c:v>0.70484779333333314</c:v>
                </c:pt>
                <c:pt idx="54">
                  <c:v>0.71189986166666641</c:v>
                </c:pt>
                <c:pt idx="55">
                  <c:v>0.71012192166666654</c:v>
                </c:pt>
                <c:pt idx="56">
                  <c:v>0.71170124916666655</c:v>
                </c:pt>
                <c:pt idx="57">
                  <c:v>0.71078892333333321</c:v>
                </c:pt>
                <c:pt idx="58">
                  <c:v>0.70866666333333317</c:v>
                </c:pt>
                <c:pt idx="59">
                  <c:v>0.71236969249999993</c:v>
                </c:pt>
                <c:pt idx="60">
                  <c:v>0.70483282583333329</c:v>
                </c:pt>
                <c:pt idx="61">
                  <c:v>0.69942123166666648</c:v>
                </c:pt>
                <c:pt idx="62">
                  <c:v>0.69324900083333318</c:v>
                </c:pt>
                <c:pt idx="63">
                  <c:v>0.68909791249999985</c:v>
                </c:pt>
                <c:pt idx="64">
                  <c:v>0.68471533416666652</c:v>
                </c:pt>
                <c:pt idx="65">
                  <c:v>0.68424713666666648</c:v>
                </c:pt>
                <c:pt idx="66">
                  <c:v>0.68105729666666648</c:v>
                </c:pt>
                <c:pt idx="67">
                  <c:v>0.67759827166666653</c:v>
                </c:pt>
                <c:pt idx="68">
                  <c:v>0.67915425499999982</c:v>
                </c:pt>
                <c:pt idx="69">
                  <c:v>0.67872664083333312</c:v>
                </c:pt>
                <c:pt idx="70">
                  <c:v>0.67722493833333319</c:v>
                </c:pt>
                <c:pt idx="71">
                  <c:v>0.67916659999999984</c:v>
                </c:pt>
                <c:pt idx="72">
                  <c:v>0.67530917416666647</c:v>
                </c:pt>
                <c:pt idx="73">
                  <c:v>0.67753706499999999</c:v>
                </c:pt>
                <c:pt idx="74">
                  <c:v>0.68079830000000008</c:v>
                </c:pt>
                <c:pt idx="75">
                  <c:v>0.68151420666666673</c:v>
                </c:pt>
                <c:pt idx="76">
                  <c:v>0.68066037916666688</c:v>
                </c:pt>
                <c:pt idx="77">
                  <c:v>0.68189331583333346</c:v>
                </c:pt>
                <c:pt idx="78">
                  <c:v>0.68287373416666686</c:v>
                </c:pt>
                <c:pt idx="79">
                  <c:v>0.68288054250000008</c:v>
                </c:pt>
                <c:pt idx="80">
                  <c:v>0.6855386391666668</c:v>
                </c:pt>
                <c:pt idx="81">
                  <c:v>0.68428031916666665</c:v>
                </c:pt>
                <c:pt idx="82">
                  <c:v>0.68782088416666654</c:v>
                </c:pt>
                <c:pt idx="83">
                  <c:v>0.68643279750000008</c:v>
                </c:pt>
                <c:pt idx="84">
                  <c:v>0.69414421833333328</c:v>
                </c:pt>
                <c:pt idx="85">
                  <c:v>0.69598911500000005</c:v>
                </c:pt>
                <c:pt idx="86">
                  <c:v>0.70670477333333326</c:v>
                </c:pt>
                <c:pt idx="87">
                  <c:v>0.70981534999999996</c:v>
                </c:pt>
                <c:pt idx="88">
                  <c:v>0.71707767333333339</c:v>
                </c:pt>
                <c:pt idx="89">
                  <c:v>0.72545319333333336</c:v>
                </c:pt>
                <c:pt idx="90">
                  <c:v>0.73290343166666672</c:v>
                </c:pt>
                <c:pt idx="91">
                  <c:v>0.7469126425</c:v>
                </c:pt>
                <c:pt idx="92">
                  <c:v>0.75506566250000018</c:v>
                </c:pt>
                <c:pt idx="93">
                  <c:v>0.76450532750000011</c:v>
                </c:pt>
                <c:pt idx="94">
                  <c:v>0.77569465999999998</c:v>
                </c:pt>
                <c:pt idx="95">
                  <c:v>0.78177590750000003</c:v>
                </c:pt>
                <c:pt idx="96">
                  <c:v>0.78815708999999989</c:v>
                </c:pt>
                <c:pt idx="97">
                  <c:v>0.79320671833333334</c:v>
                </c:pt>
                <c:pt idx="98">
                  <c:v>0.79033263083333338</c:v>
                </c:pt>
                <c:pt idx="99">
                  <c:v>0.7940842416666668</c:v>
                </c:pt>
                <c:pt idx="100">
                  <c:v>0.79624847499999996</c:v>
                </c:pt>
                <c:pt idx="101">
                  <c:v>0.79813583083333339</c:v>
                </c:pt>
                <c:pt idx="102">
                  <c:v>0.80523722249999974</c:v>
                </c:pt>
                <c:pt idx="103">
                  <c:v>0.80688708999999992</c:v>
                </c:pt>
                <c:pt idx="104">
                  <c:v>0.80126375166666641</c:v>
                </c:pt>
                <c:pt idx="105">
                  <c:v>0.80605717999999982</c:v>
                </c:pt>
                <c:pt idx="106">
                  <c:v>0.80533345249999977</c:v>
                </c:pt>
                <c:pt idx="107">
                  <c:v>0.80219321499999996</c:v>
                </c:pt>
                <c:pt idx="108">
                  <c:v>0.80837235499999993</c:v>
                </c:pt>
                <c:pt idx="109">
                  <c:v>0.80315199999999987</c:v>
                </c:pt>
                <c:pt idx="110">
                  <c:v>0.80765718083333304</c:v>
                </c:pt>
                <c:pt idx="111">
                  <c:v>0.81011337499999969</c:v>
                </c:pt>
                <c:pt idx="112">
                  <c:v>0.8133554974999998</c:v>
                </c:pt>
                <c:pt idx="113">
                  <c:v>0.81109804749999981</c:v>
                </c:pt>
                <c:pt idx="114">
                  <c:v>0.81076979166666663</c:v>
                </c:pt>
                <c:pt idx="115">
                  <c:v>0.8142465341666667</c:v>
                </c:pt>
                <c:pt idx="116">
                  <c:v>0.81776283750000012</c:v>
                </c:pt>
                <c:pt idx="117">
                  <c:v>0.82350215333333321</c:v>
                </c:pt>
                <c:pt idx="118">
                  <c:v>0.83775167499999981</c:v>
                </c:pt>
                <c:pt idx="119">
                  <c:v>0.83769240916666643</c:v>
                </c:pt>
                <c:pt idx="120">
                  <c:v>0.84619759749999979</c:v>
                </c:pt>
                <c:pt idx="121">
                  <c:v>0.8516090249999998</c:v>
                </c:pt>
                <c:pt idx="122">
                  <c:v>0.84899199000000014</c:v>
                </c:pt>
                <c:pt idx="123">
                  <c:v>0.85160799083333361</c:v>
                </c:pt>
                <c:pt idx="124">
                  <c:v>0.8569266333333333</c:v>
                </c:pt>
                <c:pt idx="125">
                  <c:v>0.86131539666666657</c:v>
                </c:pt>
                <c:pt idx="126">
                  <c:v>0.86682687333333297</c:v>
                </c:pt>
                <c:pt idx="127">
                  <c:v>0.86821540083333326</c:v>
                </c:pt>
                <c:pt idx="128">
                  <c:v>0.88036150083333231</c:v>
                </c:pt>
                <c:pt idx="129">
                  <c:v>0.88058510749999908</c:v>
                </c:pt>
                <c:pt idx="130">
                  <c:v>0.87201891999999903</c:v>
                </c:pt>
                <c:pt idx="131">
                  <c:v>0.87955745749999903</c:v>
                </c:pt>
                <c:pt idx="132">
                  <c:v>0.87391389583333157</c:v>
                </c:pt>
                <c:pt idx="133">
                  <c:v>0.87413987999999809</c:v>
                </c:pt>
                <c:pt idx="134">
                  <c:v>0.87432060749999818</c:v>
                </c:pt>
                <c:pt idx="135">
                  <c:v>0.87294604749999805</c:v>
                </c:pt>
                <c:pt idx="136">
                  <c:v>0.87149418083333152</c:v>
                </c:pt>
                <c:pt idx="137">
                  <c:v>0.87554832499999824</c:v>
                </c:pt>
                <c:pt idx="138">
                  <c:v>0.8754064449999982</c:v>
                </c:pt>
                <c:pt idx="139">
                  <c:v>0.87478305249999844</c:v>
                </c:pt>
                <c:pt idx="140">
                  <c:v>0.88073815749999917</c:v>
                </c:pt>
                <c:pt idx="141">
                  <c:v>0.89104416833333155</c:v>
                </c:pt>
                <c:pt idx="142">
                  <c:v>0.89471435499999841</c:v>
                </c:pt>
                <c:pt idx="143">
                  <c:v>0.90475259333333158</c:v>
                </c:pt>
                <c:pt idx="144">
                  <c:v>0.90908428833333177</c:v>
                </c:pt>
                <c:pt idx="145">
                  <c:v>0.91655866166666489</c:v>
                </c:pt>
                <c:pt idx="146">
                  <c:v>0.92536540833333147</c:v>
                </c:pt>
                <c:pt idx="147">
                  <c:v>0.93175029749999816</c:v>
                </c:pt>
                <c:pt idx="148">
                  <c:v>0.93546801666666501</c:v>
                </c:pt>
                <c:pt idx="149">
                  <c:v>0.94013944833333174</c:v>
                </c:pt>
                <c:pt idx="150">
                  <c:v>0.94724212666666496</c:v>
                </c:pt>
                <c:pt idx="151">
                  <c:v>0.95374025249999839</c:v>
                </c:pt>
                <c:pt idx="152">
                  <c:v>0.95788800833333154</c:v>
                </c:pt>
                <c:pt idx="153">
                  <c:v>0.96041823999999909</c:v>
                </c:pt>
                <c:pt idx="154">
                  <c:v>0.97418480583333233</c:v>
                </c:pt>
                <c:pt idx="155">
                  <c:v>0.97701842749999912</c:v>
                </c:pt>
                <c:pt idx="156">
                  <c:v>0.98039882666666678</c:v>
                </c:pt>
                <c:pt idx="157">
                  <c:v>0.97453635416666662</c:v>
                </c:pt>
                <c:pt idx="158">
                  <c:v>0.96650099750000018</c:v>
                </c:pt>
                <c:pt idx="159">
                  <c:v>0.96071091250000018</c:v>
                </c:pt>
                <c:pt idx="160">
                  <c:v>0.95238752666666671</c:v>
                </c:pt>
                <c:pt idx="161">
                  <c:v>0.951175875</c:v>
                </c:pt>
                <c:pt idx="162">
                  <c:v>0.94057111083333333</c:v>
                </c:pt>
                <c:pt idx="163">
                  <c:v>0.9415405</c:v>
                </c:pt>
                <c:pt idx="164">
                  <c:v>0.93823249999999991</c:v>
                </c:pt>
                <c:pt idx="165">
                  <c:v>0.92540183333333326</c:v>
                </c:pt>
                <c:pt idx="166">
                  <c:v>0.91983474999999981</c:v>
                </c:pt>
                <c:pt idx="167">
                  <c:v>0.91179091666666656</c:v>
                </c:pt>
                <c:pt idx="168">
                  <c:v>0.91679099999999991</c:v>
                </c:pt>
                <c:pt idx="169">
                  <c:v>0.91591566666666668</c:v>
                </c:pt>
                <c:pt idx="170">
                  <c:v>0.9204464166666666</c:v>
                </c:pt>
                <c:pt idx="171">
                  <c:v>0.91787441666666647</c:v>
                </c:pt>
                <c:pt idx="172">
                  <c:v>0.92722083333333316</c:v>
                </c:pt>
                <c:pt idx="173">
                  <c:v>0.92352974999999982</c:v>
                </c:pt>
                <c:pt idx="174">
                  <c:v>0.92436108333333322</c:v>
                </c:pt>
                <c:pt idx="175">
                  <c:v>0.92795699999999981</c:v>
                </c:pt>
                <c:pt idx="176">
                  <c:v>0.91970474999999985</c:v>
                </c:pt>
                <c:pt idx="177">
                  <c:v>0.93147225</c:v>
                </c:pt>
                <c:pt idx="178">
                  <c:v>0.92803941666666667</c:v>
                </c:pt>
                <c:pt idx="179">
                  <c:v>0.92465116666666669</c:v>
                </c:pt>
                <c:pt idx="180">
                  <c:v>0.92403683333333342</c:v>
                </c:pt>
                <c:pt idx="181">
                  <c:v>0.92492166666666675</c:v>
                </c:pt>
                <c:pt idx="182">
                  <c:v>0.92470825000000001</c:v>
                </c:pt>
                <c:pt idx="183">
                  <c:v>0.91821816666666656</c:v>
                </c:pt>
                <c:pt idx="184">
                  <c:v>0.91303924999999986</c:v>
                </c:pt>
                <c:pt idx="185">
                  <c:v>0.91636958333333329</c:v>
                </c:pt>
                <c:pt idx="186">
                  <c:v>0.92218891666666669</c:v>
                </c:pt>
                <c:pt idx="187">
                  <c:v>0.92456987416666669</c:v>
                </c:pt>
                <c:pt idx="188">
                  <c:v>0.93417592500000002</c:v>
                </c:pt>
                <c:pt idx="189">
                  <c:v>0.92931976999999921</c:v>
                </c:pt>
                <c:pt idx="190">
                  <c:v>0.93394446166666578</c:v>
                </c:pt>
                <c:pt idx="191">
                  <c:v>0.93865579499999907</c:v>
                </c:pt>
                <c:pt idx="192">
                  <c:v>0.93837429499999914</c:v>
                </c:pt>
                <c:pt idx="193">
                  <c:v>0.95204671166666577</c:v>
                </c:pt>
                <c:pt idx="194">
                  <c:v>0.94746646166666604</c:v>
                </c:pt>
                <c:pt idx="195">
                  <c:v>0.96964371166666607</c:v>
                </c:pt>
                <c:pt idx="196">
                  <c:v>0.97556012833333261</c:v>
                </c:pt>
                <c:pt idx="197">
                  <c:v>0.96924371166666579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6-4275-A3FC-BFE87B62F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8689263"/>
        <c:axId val="1147855631"/>
      </c:lineChart>
      <c:dateAx>
        <c:axId val="13286892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55631"/>
        <c:crosses val="autoZero"/>
        <c:auto val="1"/>
        <c:lblOffset val="100"/>
        <c:baseTimeUnit val="months"/>
      </c:dateAx>
      <c:valAx>
        <c:axId val="114785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68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medicinas!$E$1</c:f>
              <c:strCache>
                <c:ptCount val="1"/>
                <c:pt idx="0">
                  <c:v>Serie sin tendencia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medicinas!$B$2:$B$205</c:f>
              <c:numCache>
                <c:formatCode>m/d/yyyy</c:formatCode>
                <c:ptCount val="204"/>
                <c:pt idx="0">
                  <c:v>33420</c:v>
                </c:pt>
                <c:pt idx="1">
                  <c:v>33451</c:v>
                </c:pt>
                <c:pt idx="2">
                  <c:v>33482</c:v>
                </c:pt>
                <c:pt idx="3">
                  <c:v>33512</c:v>
                </c:pt>
                <c:pt idx="4">
                  <c:v>33543</c:v>
                </c:pt>
                <c:pt idx="5">
                  <c:v>33573</c:v>
                </c:pt>
                <c:pt idx="6">
                  <c:v>33604</c:v>
                </c:pt>
                <c:pt idx="7">
                  <c:v>33635</c:v>
                </c:pt>
                <c:pt idx="8">
                  <c:v>33664</c:v>
                </c:pt>
                <c:pt idx="9">
                  <c:v>33695</c:v>
                </c:pt>
                <c:pt idx="10">
                  <c:v>33725</c:v>
                </c:pt>
                <c:pt idx="11">
                  <c:v>33756</c:v>
                </c:pt>
                <c:pt idx="12">
                  <c:v>33786</c:v>
                </c:pt>
                <c:pt idx="13">
                  <c:v>33817</c:v>
                </c:pt>
                <c:pt idx="14">
                  <c:v>33848</c:v>
                </c:pt>
                <c:pt idx="15">
                  <c:v>33878</c:v>
                </c:pt>
                <c:pt idx="16">
                  <c:v>33909</c:v>
                </c:pt>
                <c:pt idx="17">
                  <c:v>33939</c:v>
                </c:pt>
                <c:pt idx="18">
                  <c:v>33970</c:v>
                </c:pt>
                <c:pt idx="19">
                  <c:v>34001</c:v>
                </c:pt>
                <c:pt idx="20">
                  <c:v>34029</c:v>
                </c:pt>
                <c:pt idx="21">
                  <c:v>34060</c:v>
                </c:pt>
                <c:pt idx="22">
                  <c:v>34090</c:v>
                </c:pt>
                <c:pt idx="23">
                  <c:v>34121</c:v>
                </c:pt>
                <c:pt idx="24">
                  <c:v>34151</c:v>
                </c:pt>
                <c:pt idx="25">
                  <c:v>34182</c:v>
                </c:pt>
                <c:pt idx="26">
                  <c:v>34213</c:v>
                </c:pt>
                <c:pt idx="27">
                  <c:v>34243</c:v>
                </c:pt>
                <c:pt idx="28">
                  <c:v>34274</c:v>
                </c:pt>
                <c:pt idx="29">
                  <c:v>34304</c:v>
                </c:pt>
                <c:pt idx="30">
                  <c:v>34335</c:v>
                </c:pt>
                <c:pt idx="31">
                  <c:v>34366</c:v>
                </c:pt>
                <c:pt idx="32">
                  <c:v>34394</c:v>
                </c:pt>
                <c:pt idx="33">
                  <c:v>34425</c:v>
                </c:pt>
                <c:pt idx="34">
                  <c:v>34455</c:v>
                </c:pt>
                <c:pt idx="35">
                  <c:v>34486</c:v>
                </c:pt>
                <c:pt idx="36">
                  <c:v>34516</c:v>
                </c:pt>
                <c:pt idx="37">
                  <c:v>34547</c:v>
                </c:pt>
                <c:pt idx="38">
                  <c:v>34578</c:v>
                </c:pt>
                <c:pt idx="39">
                  <c:v>34608</c:v>
                </c:pt>
                <c:pt idx="40">
                  <c:v>34639</c:v>
                </c:pt>
                <c:pt idx="41">
                  <c:v>34669</c:v>
                </c:pt>
                <c:pt idx="42">
                  <c:v>34700</c:v>
                </c:pt>
                <c:pt idx="43">
                  <c:v>34731</c:v>
                </c:pt>
                <c:pt idx="44">
                  <c:v>34759</c:v>
                </c:pt>
                <c:pt idx="45">
                  <c:v>34790</c:v>
                </c:pt>
                <c:pt idx="46">
                  <c:v>34820</c:v>
                </c:pt>
                <c:pt idx="47">
                  <c:v>34851</c:v>
                </c:pt>
                <c:pt idx="48">
                  <c:v>34881</c:v>
                </c:pt>
                <c:pt idx="49">
                  <c:v>34912</c:v>
                </c:pt>
                <c:pt idx="50">
                  <c:v>34943</c:v>
                </c:pt>
                <c:pt idx="51">
                  <c:v>34973</c:v>
                </c:pt>
                <c:pt idx="52">
                  <c:v>35004</c:v>
                </c:pt>
                <c:pt idx="53">
                  <c:v>35034</c:v>
                </c:pt>
                <c:pt idx="54">
                  <c:v>35065</c:v>
                </c:pt>
                <c:pt idx="55">
                  <c:v>35096</c:v>
                </c:pt>
                <c:pt idx="56">
                  <c:v>35125</c:v>
                </c:pt>
                <c:pt idx="57">
                  <c:v>35156</c:v>
                </c:pt>
                <c:pt idx="58">
                  <c:v>35186</c:v>
                </c:pt>
                <c:pt idx="59">
                  <c:v>35217</c:v>
                </c:pt>
                <c:pt idx="60">
                  <c:v>35247</c:v>
                </c:pt>
                <c:pt idx="61">
                  <c:v>35278</c:v>
                </c:pt>
                <c:pt idx="62">
                  <c:v>35309</c:v>
                </c:pt>
                <c:pt idx="63">
                  <c:v>35339</c:v>
                </c:pt>
                <c:pt idx="64">
                  <c:v>35370</c:v>
                </c:pt>
                <c:pt idx="65">
                  <c:v>35400</c:v>
                </c:pt>
                <c:pt idx="66">
                  <c:v>35431</c:v>
                </c:pt>
                <c:pt idx="67">
                  <c:v>35462</c:v>
                </c:pt>
                <c:pt idx="68">
                  <c:v>35490</c:v>
                </c:pt>
                <c:pt idx="69">
                  <c:v>35521</c:v>
                </c:pt>
                <c:pt idx="70">
                  <c:v>35551</c:v>
                </c:pt>
                <c:pt idx="71">
                  <c:v>35582</c:v>
                </c:pt>
                <c:pt idx="72">
                  <c:v>35612</c:v>
                </c:pt>
                <c:pt idx="73">
                  <c:v>35643</c:v>
                </c:pt>
                <c:pt idx="74">
                  <c:v>35674</c:v>
                </c:pt>
                <c:pt idx="75">
                  <c:v>35704</c:v>
                </c:pt>
                <c:pt idx="76">
                  <c:v>35735</c:v>
                </c:pt>
                <c:pt idx="77">
                  <c:v>35765</c:v>
                </c:pt>
                <c:pt idx="78">
                  <c:v>35796</c:v>
                </c:pt>
                <c:pt idx="79">
                  <c:v>35827</c:v>
                </c:pt>
                <c:pt idx="80">
                  <c:v>35855</c:v>
                </c:pt>
                <c:pt idx="81">
                  <c:v>35886</c:v>
                </c:pt>
                <c:pt idx="82">
                  <c:v>35916</c:v>
                </c:pt>
                <c:pt idx="83">
                  <c:v>35947</c:v>
                </c:pt>
                <c:pt idx="84">
                  <c:v>35977</c:v>
                </c:pt>
                <c:pt idx="85">
                  <c:v>36008</c:v>
                </c:pt>
                <c:pt idx="86">
                  <c:v>36039</c:v>
                </c:pt>
                <c:pt idx="87">
                  <c:v>36069</c:v>
                </c:pt>
                <c:pt idx="88">
                  <c:v>36100</c:v>
                </c:pt>
                <c:pt idx="89">
                  <c:v>36130</c:v>
                </c:pt>
                <c:pt idx="90">
                  <c:v>36161</c:v>
                </c:pt>
                <c:pt idx="91">
                  <c:v>36192</c:v>
                </c:pt>
                <c:pt idx="92">
                  <c:v>36220</c:v>
                </c:pt>
                <c:pt idx="93">
                  <c:v>36251</c:v>
                </c:pt>
                <c:pt idx="94">
                  <c:v>36281</c:v>
                </c:pt>
                <c:pt idx="95">
                  <c:v>36312</c:v>
                </c:pt>
                <c:pt idx="96">
                  <c:v>36342</c:v>
                </c:pt>
                <c:pt idx="97">
                  <c:v>36373</c:v>
                </c:pt>
                <c:pt idx="98">
                  <c:v>36404</c:v>
                </c:pt>
                <c:pt idx="99">
                  <c:v>36434</c:v>
                </c:pt>
                <c:pt idx="100">
                  <c:v>36465</c:v>
                </c:pt>
                <c:pt idx="101">
                  <c:v>36495</c:v>
                </c:pt>
                <c:pt idx="102">
                  <c:v>36526</c:v>
                </c:pt>
                <c:pt idx="103">
                  <c:v>36557</c:v>
                </c:pt>
                <c:pt idx="104">
                  <c:v>36586</c:v>
                </c:pt>
                <c:pt idx="105">
                  <c:v>36617</c:v>
                </c:pt>
                <c:pt idx="106">
                  <c:v>36647</c:v>
                </c:pt>
                <c:pt idx="107">
                  <c:v>36678</c:v>
                </c:pt>
                <c:pt idx="108">
                  <c:v>36708</c:v>
                </c:pt>
                <c:pt idx="109">
                  <c:v>36739</c:v>
                </c:pt>
                <c:pt idx="110">
                  <c:v>36770</c:v>
                </c:pt>
                <c:pt idx="111">
                  <c:v>36800</c:v>
                </c:pt>
                <c:pt idx="112">
                  <c:v>36831</c:v>
                </c:pt>
                <c:pt idx="113">
                  <c:v>36861</c:v>
                </c:pt>
                <c:pt idx="114">
                  <c:v>36892</c:v>
                </c:pt>
                <c:pt idx="115">
                  <c:v>36923</c:v>
                </c:pt>
                <c:pt idx="116">
                  <c:v>36951</c:v>
                </c:pt>
                <c:pt idx="117">
                  <c:v>36982</c:v>
                </c:pt>
                <c:pt idx="118">
                  <c:v>37012</c:v>
                </c:pt>
                <c:pt idx="119">
                  <c:v>37043</c:v>
                </c:pt>
                <c:pt idx="120">
                  <c:v>37073</c:v>
                </c:pt>
                <c:pt idx="121">
                  <c:v>37104</c:v>
                </c:pt>
                <c:pt idx="122">
                  <c:v>37135</c:v>
                </c:pt>
                <c:pt idx="123">
                  <c:v>37165</c:v>
                </c:pt>
                <c:pt idx="124">
                  <c:v>37196</c:v>
                </c:pt>
                <c:pt idx="125">
                  <c:v>37226</c:v>
                </c:pt>
                <c:pt idx="126">
                  <c:v>37257</c:v>
                </c:pt>
                <c:pt idx="127">
                  <c:v>37288</c:v>
                </c:pt>
                <c:pt idx="128">
                  <c:v>37316</c:v>
                </c:pt>
                <c:pt idx="129">
                  <c:v>37347</c:v>
                </c:pt>
                <c:pt idx="130">
                  <c:v>37377</c:v>
                </c:pt>
                <c:pt idx="131">
                  <c:v>37408</c:v>
                </c:pt>
                <c:pt idx="132">
                  <c:v>37438</c:v>
                </c:pt>
                <c:pt idx="133">
                  <c:v>37469</c:v>
                </c:pt>
                <c:pt idx="134">
                  <c:v>37500</c:v>
                </c:pt>
                <c:pt idx="135">
                  <c:v>37530</c:v>
                </c:pt>
                <c:pt idx="136">
                  <c:v>37561</c:v>
                </c:pt>
                <c:pt idx="137">
                  <c:v>37591</c:v>
                </c:pt>
                <c:pt idx="138">
                  <c:v>37622</c:v>
                </c:pt>
                <c:pt idx="139">
                  <c:v>37653</c:v>
                </c:pt>
                <c:pt idx="140">
                  <c:v>37681</c:v>
                </c:pt>
                <c:pt idx="141">
                  <c:v>37712</c:v>
                </c:pt>
                <c:pt idx="142">
                  <c:v>37742</c:v>
                </c:pt>
                <c:pt idx="143">
                  <c:v>37773</c:v>
                </c:pt>
                <c:pt idx="144">
                  <c:v>37803</c:v>
                </c:pt>
                <c:pt idx="145">
                  <c:v>37834</c:v>
                </c:pt>
                <c:pt idx="146">
                  <c:v>37865</c:v>
                </c:pt>
                <c:pt idx="147">
                  <c:v>37895</c:v>
                </c:pt>
                <c:pt idx="148">
                  <c:v>37926</c:v>
                </c:pt>
                <c:pt idx="149">
                  <c:v>37956</c:v>
                </c:pt>
                <c:pt idx="150">
                  <c:v>37987</c:v>
                </c:pt>
                <c:pt idx="151">
                  <c:v>38018</c:v>
                </c:pt>
                <c:pt idx="152">
                  <c:v>38047</c:v>
                </c:pt>
                <c:pt idx="153">
                  <c:v>38078</c:v>
                </c:pt>
                <c:pt idx="154">
                  <c:v>38108</c:v>
                </c:pt>
                <c:pt idx="155">
                  <c:v>38139</c:v>
                </c:pt>
                <c:pt idx="156">
                  <c:v>38169</c:v>
                </c:pt>
                <c:pt idx="157">
                  <c:v>38200</c:v>
                </c:pt>
                <c:pt idx="158">
                  <c:v>38231</c:v>
                </c:pt>
                <c:pt idx="159">
                  <c:v>38261</c:v>
                </c:pt>
                <c:pt idx="160">
                  <c:v>38292</c:v>
                </c:pt>
                <c:pt idx="161">
                  <c:v>38322</c:v>
                </c:pt>
                <c:pt idx="162">
                  <c:v>38353</c:v>
                </c:pt>
                <c:pt idx="163">
                  <c:v>38384</c:v>
                </c:pt>
                <c:pt idx="164">
                  <c:v>38412</c:v>
                </c:pt>
                <c:pt idx="165">
                  <c:v>38443</c:v>
                </c:pt>
                <c:pt idx="166">
                  <c:v>38473</c:v>
                </c:pt>
                <c:pt idx="167">
                  <c:v>38504</c:v>
                </c:pt>
                <c:pt idx="168">
                  <c:v>38534</c:v>
                </c:pt>
                <c:pt idx="169">
                  <c:v>38565</c:v>
                </c:pt>
                <c:pt idx="170">
                  <c:v>38596</c:v>
                </c:pt>
                <c:pt idx="171">
                  <c:v>38626</c:v>
                </c:pt>
                <c:pt idx="172">
                  <c:v>38657</c:v>
                </c:pt>
                <c:pt idx="173">
                  <c:v>38687</c:v>
                </c:pt>
                <c:pt idx="174">
                  <c:v>38718</c:v>
                </c:pt>
                <c:pt idx="175">
                  <c:v>38749</c:v>
                </c:pt>
                <c:pt idx="176">
                  <c:v>38777</c:v>
                </c:pt>
                <c:pt idx="177">
                  <c:v>38808</c:v>
                </c:pt>
                <c:pt idx="178">
                  <c:v>38838</c:v>
                </c:pt>
                <c:pt idx="179">
                  <c:v>38869</c:v>
                </c:pt>
                <c:pt idx="180">
                  <c:v>38899</c:v>
                </c:pt>
                <c:pt idx="181">
                  <c:v>38930</c:v>
                </c:pt>
                <c:pt idx="182">
                  <c:v>38961</c:v>
                </c:pt>
                <c:pt idx="183">
                  <c:v>38991</c:v>
                </c:pt>
                <c:pt idx="184">
                  <c:v>39022</c:v>
                </c:pt>
                <c:pt idx="185">
                  <c:v>39052</c:v>
                </c:pt>
                <c:pt idx="186">
                  <c:v>39083</c:v>
                </c:pt>
                <c:pt idx="187">
                  <c:v>39114</c:v>
                </c:pt>
                <c:pt idx="188">
                  <c:v>39142</c:v>
                </c:pt>
                <c:pt idx="189">
                  <c:v>39173</c:v>
                </c:pt>
                <c:pt idx="190">
                  <c:v>39203</c:v>
                </c:pt>
                <c:pt idx="191">
                  <c:v>39234</c:v>
                </c:pt>
                <c:pt idx="192">
                  <c:v>39264</c:v>
                </c:pt>
                <c:pt idx="193">
                  <c:v>39295</c:v>
                </c:pt>
                <c:pt idx="194">
                  <c:v>39326</c:v>
                </c:pt>
                <c:pt idx="195">
                  <c:v>39356</c:v>
                </c:pt>
                <c:pt idx="196">
                  <c:v>39387</c:v>
                </c:pt>
                <c:pt idx="197">
                  <c:v>39417</c:v>
                </c:pt>
                <c:pt idx="198">
                  <c:v>39448</c:v>
                </c:pt>
                <c:pt idx="199">
                  <c:v>39479</c:v>
                </c:pt>
                <c:pt idx="200">
                  <c:v>39508</c:v>
                </c:pt>
                <c:pt idx="201">
                  <c:v>39539</c:v>
                </c:pt>
                <c:pt idx="202">
                  <c:v>39569</c:v>
                </c:pt>
                <c:pt idx="203">
                  <c:v>39600</c:v>
                </c:pt>
              </c:numCache>
            </c:numRef>
          </c:cat>
          <c:val>
            <c:numRef>
              <c:f>medicinas!$E$2:$E$205</c:f>
              <c:numCache>
                <c:formatCode>General</c:formatCode>
                <c:ptCount val="204"/>
                <c:pt idx="5">
                  <c:v>0.15596416666666668</c:v>
                </c:pt>
                <c:pt idx="6">
                  <c:v>0.20896502750000018</c:v>
                </c:pt>
                <c:pt idx="7">
                  <c:v>-0.12114709083333314</c:v>
                </c:pt>
                <c:pt idx="8">
                  <c:v>-0.11456926083333313</c:v>
                </c:pt>
                <c:pt idx="9">
                  <c:v>-9.2447854999999801E-2</c:v>
                </c:pt>
                <c:pt idx="10">
                  <c:v>-0.11819271249999985</c:v>
                </c:pt>
                <c:pt idx="11">
                  <c:v>-8.3510194166666496E-2</c:v>
                </c:pt>
                <c:pt idx="12">
                  <c:v>-1.8270840833334134E-2</c:v>
                </c:pt>
                <c:pt idx="13">
                  <c:v>-3.0473952500000789E-2</c:v>
                </c:pt>
                <c:pt idx="14">
                  <c:v>2.2495732500000254E-2</c:v>
                </c:pt>
                <c:pt idx="15">
                  <c:v>5.3500640833333502E-2</c:v>
                </c:pt>
                <c:pt idx="16">
                  <c:v>7.4529649166666712E-2</c:v>
                </c:pt>
                <c:pt idx="17">
                  <c:v>0.24559810416666683</c:v>
                </c:pt>
                <c:pt idx="18">
                  <c:v>0.22369137250000004</c:v>
                </c:pt>
                <c:pt idx="19">
                  <c:v>-0.14717205250000009</c:v>
                </c:pt>
                <c:pt idx="20">
                  <c:v>-0.1130059241666666</c:v>
                </c:pt>
                <c:pt idx="21">
                  <c:v>-0.1317607116666667</c:v>
                </c:pt>
                <c:pt idx="22">
                  <c:v>-0.12549058000000013</c:v>
                </c:pt>
                <c:pt idx="23">
                  <c:v>-0.10020820749999998</c:v>
                </c:pt>
                <c:pt idx="24">
                  <c:v>-6.6776815833333281E-2</c:v>
                </c:pt>
                <c:pt idx="25">
                  <c:v>-2.1719794166666695E-2</c:v>
                </c:pt>
                <c:pt idx="26">
                  <c:v>1.4781428333333291E-2</c:v>
                </c:pt>
                <c:pt idx="27">
                  <c:v>4.149771916666678E-2</c:v>
                </c:pt>
                <c:pt idx="28">
                  <c:v>0.10133622250000029</c:v>
                </c:pt>
                <c:pt idx="29">
                  <c:v>0.35894572833333349</c:v>
                </c:pt>
                <c:pt idx="30">
                  <c:v>0.21111478916666693</c:v>
                </c:pt>
                <c:pt idx="31">
                  <c:v>-0.18007483916666656</c:v>
                </c:pt>
                <c:pt idx="32">
                  <c:v>-0.11865531249999983</c:v>
                </c:pt>
                <c:pt idx="33">
                  <c:v>-0.15901415250000089</c:v>
                </c:pt>
                <c:pt idx="34">
                  <c:v>-0.12228391166666763</c:v>
                </c:pt>
                <c:pt idx="35">
                  <c:v>-7.9985308333333172E-2</c:v>
                </c:pt>
                <c:pt idx="36">
                  <c:v>-6.1029114166666565E-2</c:v>
                </c:pt>
                <c:pt idx="37">
                  <c:v>5.0571655833333562E-2</c:v>
                </c:pt>
                <c:pt idx="38">
                  <c:v>5.9746056666666991E-2</c:v>
                </c:pt>
                <c:pt idx="39">
                  <c:v>5.8822602500000265E-2</c:v>
                </c:pt>
                <c:pt idx="40">
                  <c:v>0.10622140583333373</c:v>
                </c:pt>
                <c:pt idx="41">
                  <c:v>0.17418680166666711</c:v>
                </c:pt>
                <c:pt idx="42">
                  <c:v>0.15857385000000057</c:v>
                </c:pt>
                <c:pt idx="43">
                  <c:v>-0.17494591083333294</c:v>
                </c:pt>
                <c:pt idx="44">
                  <c:v>-0.1009213825000006</c:v>
                </c:pt>
                <c:pt idx="45">
                  <c:v>-0.13689511583333391</c:v>
                </c:pt>
                <c:pt idx="46">
                  <c:v>-0.10881194000000072</c:v>
                </c:pt>
                <c:pt idx="47">
                  <c:v>-9.052957166666642E-2</c:v>
                </c:pt>
                <c:pt idx="48">
                  <c:v>-6.7553872500000556E-2</c:v>
                </c:pt>
                <c:pt idx="49">
                  <c:v>4.5691120000000307E-2</c:v>
                </c:pt>
                <c:pt idx="50">
                  <c:v>2.9661680000000357E-2</c:v>
                </c:pt>
                <c:pt idx="51">
                  <c:v>0.11586262000000036</c:v>
                </c:pt>
                <c:pt idx="52">
                  <c:v>0.1095959375000003</c:v>
                </c:pt>
                <c:pt idx="53">
                  <c:v>0.22180525666666684</c:v>
                </c:pt>
                <c:pt idx="54">
                  <c:v>0.22537607833333362</c:v>
                </c:pt>
                <c:pt idx="55">
                  <c:v>-0.18136027166666657</c:v>
                </c:pt>
                <c:pt idx="56">
                  <c:v>-0.15236130916666657</c:v>
                </c:pt>
                <c:pt idx="57">
                  <c:v>-0.1329172633333342</c:v>
                </c:pt>
                <c:pt idx="58">
                  <c:v>-9.3739253333333217E-2</c:v>
                </c:pt>
                <c:pt idx="59">
                  <c:v>-0.1181809224999999</c:v>
                </c:pt>
                <c:pt idx="60">
                  <c:v>2.9256141666667013E-3</c:v>
                </c:pt>
                <c:pt idx="61">
                  <c:v>2.0080718333333469E-2</c:v>
                </c:pt>
                <c:pt idx="62">
                  <c:v>5.1074689166666798E-2</c:v>
                </c:pt>
                <c:pt idx="63">
                  <c:v>0.11575719750000013</c:v>
                </c:pt>
                <c:pt idx="64">
                  <c:v>0.10382701583333342</c:v>
                </c:pt>
                <c:pt idx="65">
                  <c:v>0.28684226333333351</c:v>
                </c:pt>
                <c:pt idx="66">
                  <c:v>0.16577624333333352</c:v>
                </c:pt>
                <c:pt idx="67">
                  <c:v>-0.21377575166666751</c:v>
                </c:pt>
                <c:pt idx="68">
                  <c:v>-0.19388108499999984</c:v>
                </c:pt>
                <c:pt idx="69">
                  <c:v>-0.15066804083333407</c:v>
                </c:pt>
                <c:pt idx="70">
                  <c:v>-0.11488846833333322</c:v>
                </c:pt>
                <c:pt idx="71">
                  <c:v>-9.0596199999999794E-2</c:v>
                </c:pt>
                <c:pt idx="72">
                  <c:v>-5.8288141666664739E-3</c:v>
                </c:pt>
                <c:pt idx="73">
                  <c:v>4.5658500000000934E-4</c:v>
                </c:pt>
                <c:pt idx="74">
                  <c:v>8.219718999999992E-2</c:v>
                </c:pt>
                <c:pt idx="75">
                  <c:v>0.11820953333333328</c:v>
                </c:pt>
                <c:pt idx="76">
                  <c:v>8.9861540833333087E-2</c:v>
                </c:pt>
                <c:pt idx="77">
                  <c:v>0.31249602416666655</c:v>
                </c:pt>
                <c:pt idx="78">
                  <c:v>0.11767069583333312</c:v>
                </c:pt>
                <c:pt idx="79">
                  <c:v>-0.19232333250000005</c:v>
                </c:pt>
                <c:pt idx="80">
                  <c:v>-0.16113064916666675</c:v>
                </c:pt>
                <c:pt idx="81">
                  <c:v>-0.14763083916666664</c:v>
                </c:pt>
                <c:pt idx="82">
                  <c:v>-0.13573034416666652</c:v>
                </c:pt>
                <c:pt idx="83">
                  <c:v>-8.3067157500000044E-2</c:v>
                </c:pt>
                <c:pt idx="84">
                  <c:v>-1.2898838333333273E-2</c:v>
                </c:pt>
                <c:pt idx="85">
                  <c:v>-1.7913765000000081E-2</c:v>
                </c:pt>
                <c:pt idx="86">
                  <c:v>8.818787666666672E-2</c:v>
                </c:pt>
                <c:pt idx="87">
                  <c:v>7.4808550000000085E-2</c:v>
                </c:pt>
                <c:pt idx="88">
                  <c:v>9.5931026666666641E-2</c:v>
                </c:pt>
                <c:pt idx="89">
                  <c:v>0.25227910666666664</c:v>
                </c:pt>
                <c:pt idx="90">
                  <c:v>0.16017804833333327</c:v>
                </c:pt>
                <c:pt idx="91">
                  <c:v>-0.2342166725</c:v>
                </c:pt>
                <c:pt idx="92">
                  <c:v>-0.10206977250000016</c:v>
                </c:pt>
                <c:pt idx="93">
                  <c:v>-0.19052892750000006</c:v>
                </c:pt>
                <c:pt idx="94">
                  <c:v>-0.13645624000000001</c:v>
                </c:pt>
                <c:pt idx="95">
                  <c:v>-7.7904027500000028E-2</c:v>
                </c:pt>
                <c:pt idx="96">
                  <c:v>-1.7508849999999909E-2</c:v>
                </c:pt>
                <c:pt idx="97">
                  <c:v>5.2979161666666608E-2</c:v>
                </c:pt>
                <c:pt idx="98">
                  <c:v>0.10239625916666661</c:v>
                </c:pt>
                <c:pt idx="99">
                  <c:v>0.10381563833333318</c:v>
                </c:pt>
                <c:pt idx="100">
                  <c:v>0.15103221500000008</c:v>
                </c:pt>
                <c:pt idx="101">
                  <c:v>0.25257143916666658</c:v>
                </c:pt>
                <c:pt idx="102">
                  <c:v>0.16441844750000023</c:v>
                </c:pt>
                <c:pt idx="103">
                  <c:v>-0.23359557999999991</c:v>
                </c:pt>
                <c:pt idx="104">
                  <c:v>-0.18275691166666641</c:v>
                </c:pt>
                <c:pt idx="105">
                  <c:v>-0.18706144999999985</c:v>
                </c:pt>
                <c:pt idx="106">
                  <c:v>-0.14012423250000072</c:v>
                </c:pt>
                <c:pt idx="107">
                  <c:v>-7.5673064999999928E-2</c:v>
                </c:pt>
                <c:pt idx="108">
                  <c:v>4.7492584999999088E-2</c:v>
                </c:pt>
                <c:pt idx="109">
                  <c:v>6.2832290000000124E-2</c:v>
                </c:pt>
                <c:pt idx="110">
                  <c:v>1.7591649166667001E-2</c:v>
                </c:pt>
                <c:pt idx="111">
                  <c:v>0.14530764500000026</c:v>
                </c:pt>
                <c:pt idx="112">
                  <c:v>0.1252404625000002</c:v>
                </c:pt>
                <c:pt idx="113">
                  <c:v>0.20192637250000023</c:v>
                </c:pt>
                <c:pt idx="114">
                  <c:v>0.23303555833333334</c:v>
                </c:pt>
                <c:pt idx="115">
                  <c:v>-0.30359928416666671</c:v>
                </c:pt>
                <c:pt idx="116">
                  <c:v>-0.14519382750000109</c:v>
                </c:pt>
                <c:pt idx="117">
                  <c:v>-0.17503209333333325</c:v>
                </c:pt>
                <c:pt idx="118">
                  <c:v>-0.13363698499999976</c:v>
                </c:pt>
                <c:pt idx="119">
                  <c:v>-0.13826165916666644</c:v>
                </c:pt>
                <c:pt idx="120">
                  <c:v>5.7282725000001866E-3</c:v>
                </c:pt>
                <c:pt idx="121">
                  <c:v>5.6096175000000192E-2</c:v>
                </c:pt>
                <c:pt idx="122">
                  <c:v>1.8452479999999882E-2</c:v>
                </c:pt>
                <c:pt idx="123">
                  <c:v>0.17268481916666634</c:v>
                </c:pt>
                <c:pt idx="124">
                  <c:v>0.25266358666666677</c:v>
                </c:pt>
                <c:pt idx="125">
                  <c:v>0.15099783333333339</c:v>
                </c:pt>
                <c:pt idx="126">
                  <c:v>0.27904073666666707</c:v>
                </c:pt>
                <c:pt idx="127">
                  <c:v>-0.29263102083333326</c:v>
                </c:pt>
                <c:pt idx="128">
                  <c:v>-0.23919691083333228</c:v>
                </c:pt>
                <c:pt idx="129">
                  <c:v>-0.20072303749999909</c:v>
                </c:pt>
                <c:pt idx="130">
                  <c:v>-0.10408052000000001</c:v>
                </c:pt>
                <c:pt idx="131">
                  <c:v>-0.12746154749999905</c:v>
                </c:pt>
                <c:pt idx="132">
                  <c:v>4.4149694166667475E-2</c:v>
                </c:pt>
                <c:pt idx="133">
                  <c:v>5.0227650000001955E-2</c:v>
                </c:pt>
                <c:pt idx="134">
                  <c:v>0.13887706249999188</c:v>
                </c:pt>
                <c:pt idx="135">
                  <c:v>0.15403004250000196</c:v>
                </c:pt>
                <c:pt idx="136">
                  <c:v>0.13530178916666846</c:v>
                </c:pt>
                <c:pt idx="137">
                  <c:v>0.22722735500000169</c:v>
                </c:pt>
                <c:pt idx="138">
                  <c:v>0.20273842499999184</c:v>
                </c:pt>
                <c:pt idx="139">
                  <c:v>-0.29648686249999845</c:v>
                </c:pt>
                <c:pt idx="140">
                  <c:v>-0.23740483749999919</c:v>
                </c:pt>
                <c:pt idx="141">
                  <c:v>-0.22767681833333153</c:v>
                </c:pt>
                <c:pt idx="142">
                  <c:v>-0.14419835499999845</c:v>
                </c:pt>
                <c:pt idx="143">
                  <c:v>-0.10400695333333154</c:v>
                </c:pt>
                <c:pt idx="144">
                  <c:v>7.2767416666682516E-3</c:v>
                </c:pt>
                <c:pt idx="145">
                  <c:v>3.2815833333510458E-4</c:v>
                </c:pt>
                <c:pt idx="146">
                  <c:v>0.15929352166666855</c:v>
                </c:pt>
                <c:pt idx="147">
                  <c:v>0.21889792249999174</c:v>
                </c:pt>
                <c:pt idx="148">
                  <c:v>0.11537019333333498</c:v>
                </c:pt>
                <c:pt idx="149">
                  <c:v>0.28309509166666824</c:v>
                </c:pt>
                <c:pt idx="150">
                  <c:v>0.18288308333332515</c:v>
                </c:pt>
                <c:pt idx="151">
                  <c:v>-0.28575158249999844</c:v>
                </c:pt>
                <c:pt idx="152">
                  <c:v>-0.20887372833333251</c:v>
                </c:pt>
                <c:pt idx="153">
                  <c:v>-0.22043221999999907</c:v>
                </c:pt>
                <c:pt idx="154">
                  <c:v>-0.17905617583333233</c:v>
                </c:pt>
                <c:pt idx="155">
                  <c:v>-0.12021560749999916</c:v>
                </c:pt>
                <c:pt idx="156">
                  <c:v>2.1194343333333254E-2</c:v>
                </c:pt>
                <c:pt idx="157">
                  <c:v>2.0327975833333345E-2</c:v>
                </c:pt>
                <c:pt idx="158">
                  <c:v>0.16793100249999993</c:v>
                </c:pt>
                <c:pt idx="159">
                  <c:v>0.22030008749999985</c:v>
                </c:pt>
                <c:pt idx="160">
                  <c:v>0.26364947333333333</c:v>
                </c:pt>
                <c:pt idx="161">
                  <c:v>0.30606212500000007</c:v>
                </c:pt>
                <c:pt idx="162">
                  <c:v>0.23011888916666667</c:v>
                </c:pt>
                <c:pt idx="163">
                  <c:v>-0.34390149999999997</c:v>
                </c:pt>
                <c:pt idx="164">
                  <c:v>-0.28564249999999991</c:v>
                </c:pt>
                <c:pt idx="165">
                  <c:v>-0.25489683333333324</c:v>
                </c:pt>
                <c:pt idx="166">
                  <c:v>-0.22458674999999984</c:v>
                </c:pt>
                <c:pt idx="167">
                  <c:v>-6.9527916666666578E-2</c:v>
                </c:pt>
                <c:pt idx="168">
                  <c:v>-4.2454999999999909E-2</c:v>
                </c:pt>
                <c:pt idx="169">
                  <c:v>9.0581333333333292E-2</c:v>
                </c:pt>
                <c:pt idx="170">
                  <c:v>0.17428958333333333</c:v>
                </c:pt>
                <c:pt idx="171">
                  <c:v>0.10916858333333346</c:v>
                </c:pt>
                <c:pt idx="172">
                  <c:v>0.22201116666666687</c:v>
                </c:pt>
                <c:pt idx="173">
                  <c:v>0.23718225000000015</c:v>
                </c:pt>
                <c:pt idx="174">
                  <c:v>0.30632991666666676</c:v>
                </c:pt>
                <c:pt idx="175">
                  <c:v>-0.34082199999999985</c:v>
                </c:pt>
                <c:pt idx="176">
                  <c:v>-0.21274574999999984</c:v>
                </c:pt>
                <c:pt idx="177">
                  <c:v>-0.29183124999999999</c:v>
                </c:pt>
                <c:pt idx="178">
                  <c:v>-0.12063441666666663</c:v>
                </c:pt>
                <c:pt idx="179">
                  <c:v>-0.12668116666666673</c:v>
                </c:pt>
                <c:pt idx="180">
                  <c:v>-3.9724833333333431E-2</c:v>
                </c:pt>
                <c:pt idx="181">
                  <c:v>0.12472633333333316</c:v>
                </c:pt>
                <c:pt idx="182">
                  <c:v>7.1000749999999946E-2</c:v>
                </c:pt>
                <c:pt idx="183">
                  <c:v>0.25003483333333343</c:v>
                </c:pt>
                <c:pt idx="184">
                  <c:v>0.19499875000000022</c:v>
                </c:pt>
                <c:pt idx="185">
                  <c:v>0.20368341666666667</c:v>
                </c:pt>
                <c:pt idx="186">
                  <c:v>0.30113008333333335</c:v>
                </c:pt>
                <c:pt idx="187">
                  <c:v>-0.32681687416666672</c:v>
                </c:pt>
                <c:pt idx="188">
                  <c:v>-0.22977792500000005</c:v>
                </c:pt>
                <c:pt idx="189">
                  <c:v>-0.36755976999999918</c:v>
                </c:pt>
                <c:pt idx="190">
                  <c:v>-0.18868646166666581</c:v>
                </c:pt>
                <c:pt idx="191">
                  <c:v>-0.10072179499999911</c:v>
                </c:pt>
                <c:pt idx="192">
                  <c:v>1.5769705000000855E-2</c:v>
                </c:pt>
                <c:pt idx="193">
                  <c:v>0.12617277833333418</c:v>
                </c:pt>
                <c:pt idx="194">
                  <c:v>0.16351514833333403</c:v>
                </c:pt>
                <c:pt idx="195">
                  <c:v>0.14033542833332402</c:v>
                </c:pt>
                <c:pt idx="196">
                  <c:v>0.18797417166666741</c:v>
                </c:pt>
                <c:pt idx="197">
                  <c:v>0.20734528833333432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0F-411D-8604-2E8A5FCA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383087"/>
        <c:axId val="1147895951"/>
      </c:lineChart>
      <c:dateAx>
        <c:axId val="122038308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95951"/>
        <c:crosses val="autoZero"/>
        <c:auto val="1"/>
        <c:lblOffset val="100"/>
        <c:baseTimeUnit val="months"/>
      </c:dateAx>
      <c:valAx>
        <c:axId val="114789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8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medicinas!$G$1</c:f>
              <c:strCache>
                <c:ptCount val="1"/>
                <c:pt idx="0">
                  <c:v>Estacionalidad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medicinas!$G$2:$G$205</c:f>
              <c:numCache>
                <c:formatCode>General</c:formatCode>
                <c:ptCount val="204"/>
                <c:pt idx="5">
                  <c:v>0.23989462490196112</c:v>
                </c:pt>
                <c:pt idx="6">
                  <c:v>0.2106900778124991</c:v>
                </c:pt>
                <c:pt idx="7">
                  <c:v>-0.2417887891145831</c:v>
                </c:pt>
                <c:pt idx="8">
                  <c:v>-0.17488669291666656</c:v>
                </c:pt>
                <c:pt idx="9">
                  <c:v>-0.19169227364583324</c:v>
                </c:pt>
                <c:pt idx="10">
                  <c:v>-0.13691233416666657</c:v>
                </c:pt>
                <c:pt idx="11">
                  <c:v>-9.9158206249999631E-2</c:v>
                </c:pt>
                <c:pt idx="12">
                  <c:v>-1.1719376458333233E-2</c:v>
                </c:pt>
                <c:pt idx="13">
                  <c:v>3.9435276458333612E-2</c:v>
                </c:pt>
                <c:pt idx="14">
                  <c:v>8.5093256874999718E-2</c:v>
                </c:pt>
                <c:pt idx="15">
                  <c:v>0.13081461645833237</c:v>
                </c:pt>
                <c:pt idx="16">
                  <c:v>0.14559653791666705</c:v>
                </c:pt>
                <c:pt idx="17">
                  <c:v>0.23989462490196112</c:v>
                </c:pt>
                <c:pt idx="18">
                  <c:v>0.2106900778124991</c:v>
                </c:pt>
                <c:pt idx="19">
                  <c:v>-0.2417887891145831</c:v>
                </c:pt>
                <c:pt idx="20">
                  <c:v>-0.17488669291666656</c:v>
                </c:pt>
                <c:pt idx="21">
                  <c:v>-0.19169227364583324</c:v>
                </c:pt>
                <c:pt idx="22">
                  <c:v>-0.13691233416666657</c:v>
                </c:pt>
                <c:pt idx="23">
                  <c:v>-9.9158206249999631E-2</c:v>
                </c:pt>
                <c:pt idx="24">
                  <c:v>-1.1719376458333233E-2</c:v>
                </c:pt>
                <c:pt idx="25">
                  <c:v>3.9435276458333612E-2</c:v>
                </c:pt>
                <c:pt idx="26">
                  <c:v>8.5093256874999718E-2</c:v>
                </c:pt>
                <c:pt idx="27">
                  <c:v>0.13081461645833237</c:v>
                </c:pt>
                <c:pt idx="28">
                  <c:v>0.14559653791666705</c:v>
                </c:pt>
                <c:pt idx="29">
                  <c:v>0.23989462490196112</c:v>
                </c:pt>
                <c:pt idx="30">
                  <c:v>0.2106900778124991</c:v>
                </c:pt>
                <c:pt idx="31">
                  <c:v>-0.2417887891145831</c:v>
                </c:pt>
                <c:pt idx="32">
                  <c:v>-0.17488669291666656</c:v>
                </c:pt>
                <c:pt idx="33">
                  <c:v>-0.19169227364583324</c:v>
                </c:pt>
                <c:pt idx="34">
                  <c:v>-0.13691233416666657</c:v>
                </c:pt>
                <c:pt idx="35">
                  <c:v>-9.9158206249999631E-2</c:v>
                </c:pt>
                <c:pt idx="36">
                  <c:v>-1.1719376458333233E-2</c:v>
                </c:pt>
                <c:pt idx="37">
                  <c:v>3.9435276458333612E-2</c:v>
                </c:pt>
                <c:pt idx="38">
                  <c:v>8.5093256874999718E-2</c:v>
                </c:pt>
                <c:pt idx="39">
                  <c:v>0.13081461645833237</c:v>
                </c:pt>
                <c:pt idx="40">
                  <c:v>0.14559653791666705</c:v>
                </c:pt>
                <c:pt idx="41">
                  <c:v>0.23989462490196112</c:v>
                </c:pt>
                <c:pt idx="42">
                  <c:v>0.2106900778124991</c:v>
                </c:pt>
                <c:pt idx="43">
                  <c:v>-0.2417887891145831</c:v>
                </c:pt>
                <c:pt idx="44">
                  <c:v>-0.17488669291666656</c:v>
                </c:pt>
                <c:pt idx="45">
                  <c:v>-0.19169227364583324</c:v>
                </c:pt>
                <c:pt idx="46">
                  <c:v>-0.13691233416666657</c:v>
                </c:pt>
                <c:pt idx="47">
                  <c:v>-9.9158206249999631E-2</c:v>
                </c:pt>
                <c:pt idx="48">
                  <c:v>-1.1719376458333233E-2</c:v>
                </c:pt>
                <c:pt idx="49">
                  <c:v>3.9435276458333612E-2</c:v>
                </c:pt>
                <c:pt idx="50">
                  <c:v>8.5093256874999718E-2</c:v>
                </c:pt>
                <c:pt idx="51">
                  <c:v>0.13081461645833237</c:v>
                </c:pt>
                <c:pt idx="52">
                  <c:v>0.14559653791666705</c:v>
                </c:pt>
                <c:pt idx="53">
                  <c:v>0.23989462490196112</c:v>
                </c:pt>
                <c:pt idx="54">
                  <c:v>0.2106900778124991</c:v>
                </c:pt>
                <c:pt idx="55">
                  <c:v>-0.2417887891145831</c:v>
                </c:pt>
                <c:pt idx="56">
                  <c:v>-0.17488669291666656</c:v>
                </c:pt>
                <c:pt idx="57">
                  <c:v>-0.19169227364583324</c:v>
                </c:pt>
                <c:pt idx="58">
                  <c:v>-0.13691233416666657</c:v>
                </c:pt>
                <c:pt idx="59">
                  <c:v>-9.9158206249999631E-2</c:v>
                </c:pt>
                <c:pt idx="60">
                  <c:v>-1.1719376458333233E-2</c:v>
                </c:pt>
                <c:pt idx="61">
                  <c:v>3.9435276458333612E-2</c:v>
                </c:pt>
                <c:pt idx="62">
                  <c:v>8.5093256874999718E-2</c:v>
                </c:pt>
                <c:pt idx="63">
                  <c:v>0.13081461645833237</c:v>
                </c:pt>
                <c:pt idx="64">
                  <c:v>0.14559653791666705</c:v>
                </c:pt>
                <c:pt idx="65">
                  <c:v>0.23989462490196112</c:v>
                </c:pt>
                <c:pt idx="66">
                  <c:v>0.2106900778124991</c:v>
                </c:pt>
                <c:pt idx="67">
                  <c:v>-0.2417887891145831</c:v>
                </c:pt>
                <c:pt idx="68">
                  <c:v>-0.17488669291666656</c:v>
                </c:pt>
                <c:pt idx="69">
                  <c:v>-0.19169227364583324</c:v>
                </c:pt>
                <c:pt idx="70">
                  <c:v>-0.13691233416666657</c:v>
                </c:pt>
                <c:pt idx="71">
                  <c:v>-9.9158206249999631E-2</c:v>
                </c:pt>
                <c:pt idx="72">
                  <c:v>-1.1719376458333233E-2</c:v>
                </c:pt>
                <c:pt idx="73">
                  <c:v>3.9435276458333612E-2</c:v>
                </c:pt>
                <c:pt idx="74">
                  <c:v>8.5093256874999718E-2</c:v>
                </c:pt>
                <c:pt idx="75">
                  <c:v>0.13081461645833237</c:v>
                </c:pt>
                <c:pt idx="76">
                  <c:v>0.14559653791666705</c:v>
                </c:pt>
                <c:pt idx="77">
                  <c:v>0.23989462490196112</c:v>
                </c:pt>
                <c:pt idx="78">
                  <c:v>0.2106900778124991</c:v>
                </c:pt>
                <c:pt idx="79">
                  <c:v>-0.2417887891145831</c:v>
                </c:pt>
                <c:pt idx="80">
                  <c:v>-0.17488669291666656</c:v>
                </c:pt>
                <c:pt idx="81">
                  <c:v>-0.19169227364583324</c:v>
                </c:pt>
                <c:pt idx="82">
                  <c:v>-0.13691233416666657</c:v>
                </c:pt>
                <c:pt idx="83">
                  <c:v>-9.9158206249999631E-2</c:v>
                </c:pt>
                <c:pt idx="84">
                  <c:v>-1.1719376458333233E-2</c:v>
                </c:pt>
                <c:pt idx="85">
                  <c:v>3.9435276458333612E-2</c:v>
                </c:pt>
                <c:pt idx="86">
                  <c:v>8.5093256874999718E-2</c:v>
                </c:pt>
                <c:pt idx="87">
                  <c:v>0.13081461645833237</c:v>
                </c:pt>
                <c:pt idx="88">
                  <c:v>0.14559653791666705</c:v>
                </c:pt>
                <c:pt idx="89">
                  <c:v>0.23989462490196112</c:v>
                </c:pt>
                <c:pt idx="90">
                  <c:v>0.2106900778124991</c:v>
                </c:pt>
                <c:pt idx="91">
                  <c:v>-0.2417887891145831</c:v>
                </c:pt>
                <c:pt idx="92">
                  <c:v>-0.17488669291666656</c:v>
                </c:pt>
                <c:pt idx="93">
                  <c:v>-0.19169227364583324</c:v>
                </c:pt>
                <c:pt idx="94">
                  <c:v>-0.13691233416666657</c:v>
                </c:pt>
                <c:pt idx="95">
                  <c:v>-9.9158206249999631E-2</c:v>
                </c:pt>
                <c:pt idx="96">
                  <c:v>-1.1719376458333233E-2</c:v>
                </c:pt>
                <c:pt idx="97">
                  <c:v>3.9435276458333612E-2</c:v>
                </c:pt>
                <c:pt idx="98">
                  <c:v>8.5093256874999718E-2</c:v>
                </c:pt>
                <c:pt idx="99">
                  <c:v>0.13081461645833237</c:v>
                </c:pt>
                <c:pt idx="100">
                  <c:v>0.14559653791666705</c:v>
                </c:pt>
                <c:pt idx="101">
                  <c:v>0.23989462490196112</c:v>
                </c:pt>
                <c:pt idx="102">
                  <c:v>0.2106900778124991</c:v>
                </c:pt>
                <c:pt idx="103">
                  <c:v>-0.2417887891145831</c:v>
                </c:pt>
                <c:pt idx="104">
                  <c:v>-0.17488669291666656</c:v>
                </c:pt>
                <c:pt idx="105">
                  <c:v>-0.19169227364583324</c:v>
                </c:pt>
                <c:pt idx="106">
                  <c:v>-0.13691233416666657</c:v>
                </c:pt>
                <c:pt idx="107">
                  <c:v>-9.9158206249999631E-2</c:v>
                </c:pt>
                <c:pt idx="108">
                  <c:v>-1.1719376458333233E-2</c:v>
                </c:pt>
                <c:pt idx="109">
                  <c:v>3.9435276458333612E-2</c:v>
                </c:pt>
                <c:pt idx="110">
                  <c:v>8.5093256874999718E-2</c:v>
                </c:pt>
                <c:pt idx="111">
                  <c:v>0.13081461645833237</c:v>
                </c:pt>
                <c:pt idx="112">
                  <c:v>0.14559653791666705</c:v>
                </c:pt>
                <c:pt idx="113">
                  <c:v>0.23989462490196112</c:v>
                </c:pt>
                <c:pt idx="114">
                  <c:v>0.2106900778124991</c:v>
                </c:pt>
                <c:pt idx="115">
                  <c:v>-0.2417887891145831</c:v>
                </c:pt>
                <c:pt idx="116">
                  <c:v>-0.17488669291666656</c:v>
                </c:pt>
                <c:pt idx="117">
                  <c:v>-0.19169227364583324</c:v>
                </c:pt>
                <c:pt idx="118">
                  <c:v>-0.13691233416666657</c:v>
                </c:pt>
                <c:pt idx="119">
                  <c:v>-9.9158206249999631E-2</c:v>
                </c:pt>
                <c:pt idx="120">
                  <c:v>-1.1719376458333233E-2</c:v>
                </c:pt>
                <c:pt idx="121">
                  <c:v>3.9435276458333612E-2</c:v>
                </c:pt>
                <c:pt idx="122">
                  <c:v>8.5093256874999718E-2</c:v>
                </c:pt>
                <c:pt idx="123">
                  <c:v>0.13081461645833237</c:v>
                </c:pt>
                <c:pt idx="124">
                  <c:v>0.14559653791666705</c:v>
                </c:pt>
                <c:pt idx="125">
                  <c:v>0.23989462490196112</c:v>
                </c:pt>
                <c:pt idx="126">
                  <c:v>0.2106900778124991</c:v>
                </c:pt>
                <c:pt idx="127">
                  <c:v>-0.2417887891145831</c:v>
                </c:pt>
                <c:pt idx="128">
                  <c:v>-0.17488669291666656</c:v>
                </c:pt>
                <c:pt idx="129">
                  <c:v>-0.19169227364583324</c:v>
                </c:pt>
                <c:pt idx="130">
                  <c:v>-0.13691233416666657</c:v>
                </c:pt>
                <c:pt idx="131">
                  <c:v>-9.9158206249999631E-2</c:v>
                </c:pt>
                <c:pt idx="132">
                  <c:v>-1.1719376458333233E-2</c:v>
                </c:pt>
                <c:pt idx="133">
                  <c:v>3.9435276458333612E-2</c:v>
                </c:pt>
                <c:pt idx="134">
                  <c:v>8.5093256874999718E-2</c:v>
                </c:pt>
                <c:pt idx="135">
                  <c:v>0.13081461645833237</c:v>
                </c:pt>
                <c:pt idx="136">
                  <c:v>0.14559653791666705</c:v>
                </c:pt>
                <c:pt idx="137">
                  <c:v>0.23989462490196112</c:v>
                </c:pt>
                <c:pt idx="138">
                  <c:v>0.2106900778124991</c:v>
                </c:pt>
                <c:pt idx="139">
                  <c:v>-0.2417887891145831</c:v>
                </c:pt>
                <c:pt idx="140">
                  <c:v>-0.17488669291666656</c:v>
                </c:pt>
                <c:pt idx="141">
                  <c:v>-0.19169227364583324</c:v>
                </c:pt>
                <c:pt idx="142">
                  <c:v>-0.13691233416666657</c:v>
                </c:pt>
                <c:pt idx="143">
                  <c:v>-9.9158206249999631E-2</c:v>
                </c:pt>
                <c:pt idx="144">
                  <c:v>-1.1719376458333233E-2</c:v>
                </c:pt>
                <c:pt idx="145">
                  <c:v>3.9435276458333612E-2</c:v>
                </c:pt>
                <c:pt idx="146">
                  <c:v>8.5093256874999718E-2</c:v>
                </c:pt>
                <c:pt idx="147">
                  <c:v>0.13081461645833237</c:v>
                </c:pt>
                <c:pt idx="148">
                  <c:v>0.14559653791666705</c:v>
                </c:pt>
                <c:pt idx="149">
                  <c:v>0.23989462490196112</c:v>
                </c:pt>
                <c:pt idx="150">
                  <c:v>0.2106900778124991</c:v>
                </c:pt>
                <c:pt idx="151">
                  <c:v>-0.2417887891145831</c:v>
                </c:pt>
                <c:pt idx="152">
                  <c:v>-0.17488669291666656</c:v>
                </c:pt>
                <c:pt idx="153">
                  <c:v>-0.19169227364583324</c:v>
                </c:pt>
                <c:pt idx="154">
                  <c:v>-0.13691233416666657</c:v>
                </c:pt>
                <c:pt idx="155">
                  <c:v>-9.9158206249999631E-2</c:v>
                </c:pt>
                <c:pt idx="156">
                  <c:v>-1.1719376458333233E-2</c:v>
                </c:pt>
                <c:pt idx="157">
                  <c:v>3.9435276458333612E-2</c:v>
                </c:pt>
                <c:pt idx="158">
                  <c:v>8.5093256874999718E-2</c:v>
                </c:pt>
                <c:pt idx="159">
                  <c:v>0.13081461645833237</c:v>
                </c:pt>
                <c:pt idx="160">
                  <c:v>0.14559653791666705</c:v>
                </c:pt>
                <c:pt idx="161">
                  <c:v>0.23989462490196112</c:v>
                </c:pt>
                <c:pt idx="162">
                  <c:v>0.2106900778124991</c:v>
                </c:pt>
                <c:pt idx="163">
                  <c:v>-0.2417887891145831</c:v>
                </c:pt>
                <c:pt idx="164">
                  <c:v>-0.17488669291666656</c:v>
                </c:pt>
                <c:pt idx="165">
                  <c:v>-0.19169227364583324</c:v>
                </c:pt>
                <c:pt idx="166">
                  <c:v>-0.13691233416666657</c:v>
                </c:pt>
                <c:pt idx="167">
                  <c:v>-9.9158206249999631E-2</c:v>
                </c:pt>
                <c:pt idx="168">
                  <c:v>-1.1719376458333233E-2</c:v>
                </c:pt>
                <c:pt idx="169">
                  <c:v>3.9435276458333612E-2</c:v>
                </c:pt>
                <c:pt idx="170">
                  <c:v>8.5093256874999718E-2</c:v>
                </c:pt>
                <c:pt idx="171">
                  <c:v>0.13081461645833237</c:v>
                </c:pt>
                <c:pt idx="172">
                  <c:v>0.14559653791666705</c:v>
                </c:pt>
                <c:pt idx="173">
                  <c:v>0.23989462490196112</c:v>
                </c:pt>
                <c:pt idx="174">
                  <c:v>0.2106900778124991</c:v>
                </c:pt>
                <c:pt idx="175">
                  <c:v>-0.2417887891145831</c:v>
                </c:pt>
                <c:pt idx="176">
                  <c:v>-0.17488669291666656</c:v>
                </c:pt>
                <c:pt idx="177">
                  <c:v>-0.19169227364583324</c:v>
                </c:pt>
                <c:pt idx="178">
                  <c:v>-0.13691233416666657</c:v>
                </c:pt>
                <c:pt idx="179">
                  <c:v>-9.9158206249999631E-2</c:v>
                </c:pt>
                <c:pt idx="180">
                  <c:v>-1.1719376458333233E-2</c:v>
                </c:pt>
                <c:pt idx="181">
                  <c:v>3.9435276458333612E-2</c:v>
                </c:pt>
                <c:pt idx="182">
                  <c:v>8.5093256874999718E-2</c:v>
                </c:pt>
                <c:pt idx="183">
                  <c:v>0.13081461645833237</c:v>
                </c:pt>
                <c:pt idx="184">
                  <c:v>0.14559653791666705</c:v>
                </c:pt>
                <c:pt idx="185">
                  <c:v>0.23989462490196112</c:v>
                </c:pt>
                <c:pt idx="186">
                  <c:v>0.2106900778124991</c:v>
                </c:pt>
                <c:pt idx="187">
                  <c:v>-0.2417887891145831</c:v>
                </c:pt>
                <c:pt idx="188">
                  <c:v>-0.17488669291666656</c:v>
                </c:pt>
                <c:pt idx="189">
                  <c:v>-0.19169227364583324</c:v>
                </c:pt>
                <c:pt idx="190">
                  <c:v>-0.13691233416666657</c:v>
                </c:pt>
                <c:pt idx="191">
                  <c:v>-9.9158206249999631E-2</c:v>
                </c:pt>
                <c:pt idx="192">
                  <c:v>-1.1719376458333233E-2</c:v>
                </c:pt>
                <c:pt idx="193">
                  <c:v>3.9435276458333612E-2</c:v>
                </c:pt>
                <c:pt idx="194">
                  <c:v>8.5093256874999718E-2</c:v>
                </c:pt>
                <c:pt idx="195">
                  <c:v>0.13081461645833237</c:v>
                </c:pt>
                <c:pt idx="196">
                  <c:v>0.14559653791666705</c:v>
                </c:pt>
                <c:pt idx="197">
                  <c:v>0.23989462490196112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E6-4A9A-8C60-DD4350C19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2817071"/>
        <c:axId val="1147874351"/>
      </c:lineChart>
      <c:catAx>
        <c:axId val="12228170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74351"/>
        <c:crosses val="autoZero"/>
        <c:auto val="1"/>
        <c:lblAlgn val="ctr"/>
        <c:lblOffset val="100"/>
        <c:noMultiLvlLbl val="0"/>
      </c:catAx>
      <c:valAx>
        <c:axId val="114787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817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medicinas!$H$1</c:f>
              <c:strCache>
                <c:ptCount val="1"/>
                <c:pt idx="0">
                  <c:v>Residual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medicinas!$H$2:$H$205</c:f>
              <c:numCache>
                <c:formatCode>General</c:formatCode>
                <c:ptCount val="204"/>
                <c:pt idx="5">
                  <c:v>-8.3930458235294436E-2</c:v>
                </c:pt>
                <c:pt idx="6">
                  <c:v>-1.7250503124989214E-3</c:v>
                </c:pt>
                <c:pt idx="7">
                  <c:v>0.12064169828124996</c:v>
                </c:pt>
                <c:pt idx="8">
                  <c:v>6.0317432083333428E-2</c:v>
                </c:pt>
                <c:pt idx="9">
                  <c:v>9.9244418645833443E-2</c:v>
                </c:pt>
                <c:pt idx="10">
                  <c:v>1.8719621666666714E-2</c:v>
                </c:pt>
                <c:pt idx="11">
                  <c:v>1.5648012083333135E-2</c:v>
                </c:pt>
                <c:pt idx="12">
                  <c:v>-6.5514643750009018E-3</c:v>
                </c:pt>
                <c:pt idx="13">
                  <c:v>-6.9909228958334402E-2</c:v>
                </c:pt>
                <c:pt idx="14">
                  <c:v>-6.2597524374999464E-2</c:v>
                </c:pt>
                <c:pt idx="15">
                  <c:v>-7.7313975624998865E-2</c:v>
                </c:pt>
                <c:pt idx="16">
                  <c:v>-7.1066888750000334E-2</c:v>
                </c:pt>
                <c:pt idx="17">
                  <c:v>5.7034792647057131E-3</c:v>
                </c:pt>
                <c:pt idx="18">
                  <c:v>1.3001294687500942E-2</c:v>
                </c:pt>
                <c:pt idx="19">
                  <c:v>9.4616736614583002E-2</c:v>
                </c:pt>
                <c:pt idx="20">
                  <c:v>6.1880768749999954E-2</c:v>
                </c:pt>
                <c:pt idx="21">
                  <c:v>5.9931561979166548E-2</c:v>
                </c:pt>
                <c:pt idx="22">
                  <c:v>1.1421754166666437E-2</c:v>
                </c:pt>
                <c:pt idx="23">
                  <c:v>-1.0500012500003486E-3</c:v>
                </c:pt>
                <c:pt idx="24">
                  <c:v>-5.5057439375000045E-2</c:v>
                </c:pt>
                <c:pt idx="25">
                  <c:v>-6.1155070625000307E-2</c:v>
                </c:pt>
                <c:pt idx="26">
                  <c:v>-7.0311828541666427E-2</c:v>
                </c:pt>
                <c:pt idx="27">
                  <c:v>-8.9316897291665587E-2</c:v>
                </c:pt>
                <c:pt idx="28">
                  <c:v>-4.4260315416666751E-2</c:v>
                </c:pt>
                <c:pt idx="29">
                  <c:v>0.11905110343137237</c:v>
                </c:pt>
                <c:pt idx="30">
                  <c:v>4.2471135416782824E-4</c:v>
                </c:pt>
                <c:pt idx="31">
                  <c:v>6.1713949947916541E-2</c:v>
                </c:pt>
                <c:pt idx="32">
                  <c:v>5.6231380416666726E-2</c:v>
                </c:pt>
                <c:pt idx="33">
                  <c:v>3.2678121145832351E-2</c:v>
                </c:pt>
                <c:pt idx="34">
                  <c:v>1.4628422499998933E-2</c:v>
                </c:pt>
                <c:pt idx="35">
                  <c:v>1.9172897916666459E-2</c:v>
                </c:pt>
                <c:pt idx="36">
                  <c:v>-4.9309737708333329E-2</c:v>
                </c:pt>
                <c:pt idx="37">
                  <c:v>1.113637937499995E-2</c:v>
                </c:pt>
                <c:pt idx="38">
                  <c:v>-2.5347200208332726E-2</c:v>
                </c:pt>
                <c:pt idx="39">
                  <c:v>-7.1992013958332102E-2</c:v>
                </c:pt>
                <c:pt idx="40">
                  <c:v>-3.937513208333332E-2</c:v>
                </c:pt>
                <c:pt idx="41">
                  <c:v>-6.5707823235294005E-2</c:v>
                </c:pt>
                <c:pt idx="42">
                  <c:v>-5.2116227812498528E-2</c:v>
                </c:pt>
                <c:pt idx="43">
                  <c:v>6.6842878281250157E-2</c:v>
                </c:pt>
                <c:pt idx="44">
                  <c:v>7.3965310416665958E-2</c:v>
                </c:pt>
                <c:pt idx="45">
                  <c:v>5.4797157812499331E-2</c:v>
                </c:pt>
                <c:pt idx="46">
                  <c:v>2.8100394166665849E-2</c:v>
                </c:pt>
                <c:pt idx="47">
                  <c:v>8.6286345833332112E-3</c:v>
                </c:pt>
                <c:pt idx="48">
                  <c:v>-5.583449604166732E-2</c:v>
                </c:pt>
                <c:pt idx="49">
                  <c:v>6.2558435416666947E-3</c:v>
                </c:pt>
                <c:pt idx="50">
                  <c:v>-5.5431576874999361E-2</c:v>
                </c:pt>
                <c:pt idx="51">
                  <c:v>-1.4951996458332006E-2</c:v>
                </c:pt>
                <c:pt idx="52">
                  <c:v>-3.600060041666675E-2</c:v>
                </c:pt>
                <c:pt idx="53">
                  <c:v>-1.8089368235294279E-2</c:v>
                </c:pt>
                <c:pt idx="54">
                  <c:v>1.4686000520834519E-2</c:v>
                </c:pt>
                <c:pt idx="55">
                  <c:v>6.0428517447916524E-2</c:v>
                </c:pt>
                <c:pt idx="56">
                  <c:v>2.2525383749999989E-2</c:v>
                </c:pt>
                <c:pt idx="57">
                  <c:v>5.8775010312499043E-2</c:v>
                </c:pt>
                <c:pt idx="58">
                  <c:v>4.3173080833333349E-2</c:v>
                </c:pt>
                <c:pt idx="59">
                  <c:v>-1.9022716250000266E-2</c:v>
                </c:pt>
                <c:pt idx="60">
                  <c:v>1.4644990624999934E-2</c:v>
                </c:pt>
                <c:pt idx="61">
                  <c:v>-1.9354558125000143E-2</c:v>
                </c:pt>
                <c:pt idx="62">
                  <c:v>-3.401856770833292E-2</c:v>
                </c:pt>
                <c:pt idx="63">
                  <c:v>-1.5057418958332236E-2</c:v>
                </c:pt>
                <c:pt idx="64">
                  <c:v>-4.1769522083333621E-2</c:v>
                </c:pt>
                <c:pt idx="65">
                  <c:v>4.6947638431372396E-2</c:v>
                </c:pt>
                <c:pt idx="66">
                  <c:v>-4.4913834479165582E-2</c:v>
                </c:pt>
                <c:pt idx="67">
                  <c:v>2.8013037447915584E-2</c:v>
                </c:pt>
                <c:pt idx="68">
                  <c:v>-1.8994392083333284E-2</c:v>
                </c:pt>
                <c:pt idx="69">
                  <c:v>4.1024232812499173E-2</c:v>
                </c:pt>
                <c:pt idx="70">
                  <c:v>2.202386583333335E-2</c:v>
                </c:pt>
                <c:pt idx="71">
                  <c:v>8.5620062499998373E-3</c:v>
                </c:pt>
                <c:pt idx="72">
                  <c:v>5.8905622916667587E-3</c:v>
                </c:pt>
                <c:pt idx="73">
                  <c:v>-3.8978691458333603E-2</c:v>
                </c:pt>
                <c:pt idx="74">
                  <c:v>-2.8960668749997975E-3</c:v>
                </c:pt>
                <c:pt idx="75">
                  <c:v>-1.2605083124999084E-2</c:v>
                </c:pt>
                <c:pt idx="76">
                  <c:v>-5.5734997083333959E-2</c:v>
                </c:pt>
                <c:pt idx="77">
                  <c:v>7.2601399264705435E-2</c:v>
                </c:pt>
                <c:pt idx="78">
                  <c:v>-9.3019381979165983E-2</c:v>
                </c:pt>
                <c:pt idx="79">
                  <c:v>4.9465456614583042E-2</c:v>
                </c:pt>
                <c:pt idx="80">
                  <c:v>1.3756043749999808E-2</c:v>
                </c:pt>
                <c:pt idx="81">
                  <c:v>4.4061434479166606E-2</c:v>
                </c:pt>
                <c:pt idx="82">
                  <c:v>1.1819900000000494E-3</c:v>
                </c:pt>
                <c:pt idx="83">
                  <c:v>1.6091048749999587E-2</c:v>
                </c:pt>
                <c:pt idx="84">
                  <c:v>-1.1794618750000409E-3</c:v>
                </c:pt>
                <c:pt idx="85">
                  <c:v>-5.7349041458333694E-2</c:v>
                </c:pt>
                <c:pt idx="86">
                  <c:v>3.0946197916670026E-3</c:v>
                </c:pt>
                <c:pt idx="87">
                  <c:v>-5.6006066458332282E-2</c:v>
                </c:pt>
                <c:pt idx="88">
                  <c:v>-4.9665511250000405E-2</c:v>
                </c:pt>
                <c:pt idx="89">
                  <c:v>1.2384481764705524E-2</c:v>
                </c:pt>
                <c:pt idx="90">
                  <c:v>-5.0512029479165832E-2</c:v>
                </c:pt>
                <c:pt idx="91">
                  <c:v>7.5721166145830965E-3</c:v>
                </c:pt>
                <c:pt idx="92">
                  <c:v>7.2816920416666403E-2</c:v>
                </c:pt>
                <c:pt idx="93">
                  <c:v>1.1633461458331884E-3</c:v>
                </c:pt>
                <c:pt idx="94">
                  <c:v>4.5609416666655966E-4</c:v>
                </c:pt>
                <c:pt idx="95">
                  <c:v>2.1254178749999603E-2</c:v>
                </c:pt>
                <c:pt idx="96">
                  <c:v>-5.7894735416666766E-3</c:v>
                </c:pt>
                <c:pt idx="97">
                  <c:v>1.3543885208332995E-2</c:v>
                </c:pt>
                <c:pt idx="98">
                  <c:v>1.7303002291666897E-2</c:v>
                </c:pt>
                <c:pt idx="99">
                  <c:v>-2.6998978124999184E-2</c:v>
                </c:pt>
                <c:pt idx="100">
                  <c:v>5.4356770833330348E-3</c:v>
                </c:pt>
                <c:pt idx="101">
                  <c:v>1.267681426470546E-2</c:v>
                </c:pt>
                <c:pt idx="102">
                  <c:v>-4.6271630312498868E-2</c:v>
                </c:pt>
                <c:pt idx="103">
                  <c:v>8.1932091145831831E-3</c:v>
                </c:pt>
                <c:pt idx="104">
                  <c:v>-7.8702187499998522E-3</c:v>
                </c:pt>
                <c:pt idx="105">
                  <c:v>4.6308236458333929E-3</c:v>
                </c:pt>
                <c:pt idx="106">
                  <c:v>-3.2118983333341566E-3</c:v>
                </c:pt>
                <c:pt idx="107">
                  <c:v>2.3485141249999703E-2</c:v>
                </c:pt>
                <c:pt idx="108">
                  <c:v>5.9211961458332324E-2</c:v>
                </c:pt>
                <c:pt idx="109">
                  <c:v>2.3397013541666511E-2</c:v>
                </c:pt>
                <c:pt idx="110">
                  <c:v>-6.7501607708332717E-2</c:v>
                </c:pt>
                <c:pt idx="111">
                  <c:v>1.4493028541667896E-2</c:v>
                </c:pt>
                <c:pt idx="112">
                  <c:v>-2.0356075416666841E-2</c:v>
                </c:pt>
                <c:pt idx="113">
                  <c:v>-3.7968252401960889E-2</c:v>
                </c:pt>
                <c:pt idx="114">
                  <c:v>2.2345480520834238E-2</c:v>
                </c:pt>
                <c:pt idx="115">
                  <c:v>-6.1810495052083608E-2</c:v>
                </c:pt>
                <c:pt idx="116">
                  <c:v>2.9692865416665465E-2</c:v>
                </c:pt>
                <c:pt idx="117">
                  <c:v>1.6660180312499995E-2</c:v>
                </c:pt>
                <c:pt idx="118">
                  <c:v>3.2753491666668022E-3</c:v>
                </c:pt>
                <c:pt idx="119">
                  <c:v>-3.9103452916666809E-2</c:v>
                </c:pt>
                <c:pt idx="120">
                  <c:v>1.7447648958333419E-2</c:v>
                </c:pt>
                <c:pt idx="121">
                  <c:v>1.666089854166658E-2</c:v>
                </c:pt>
                <c:pt idx="122">
                  <c:v>-6.6640776874999835E-2</c:v>
                </c:pt>
                <c:pt idx="123">
                  <c:v>4.187020270833397E-2</c:v>
                </c:pt>
                <c:pt idx="124">
                  <c:v>0.10706704874999973</c:v>
                </c:pt>
                <c:pt idx="125">
                  <c:v>-8.8896791568627731E-2</c:v>
                </c:pt>
                <c:pt idx="126">
                  <c:v>6.8350658854167967E-2</c:v>
                </c:pt>
                <c:pt idx="127">
                  <c:v>-5.0842231718750158E-2</c:v>
                </c:pt>
                <c:pt idx="128">
                  <c:v>-6.4310217916665718E-2</c:v>
                </c:pt>
                <c:pt idx="129">
                  <c:v>-9.0307638541658464E-3</c:v>
                </c:pt>
                <c:pt idx="130">
                  <c:v>3.2831814166666556E-2</c:v>
                </c:pt>
                <c:pt idx="131">
                  <c:v>-2.830334124999942E-2</c:v>
                </c:pt>
                <c:pt idx="132">
                  <c:v>5.5869070625000711E-2</c:v>
                </c:pt>
                <c:pt idx="133">
                  <c:v>1.0792373541668343E-2</c:v>
                </c:pt>
                <c:pt idx="134">
                  <c:v>5.3783805624992159E-2</c:v>
                </c:pt>
                <c:pt idx="135">
                  <c:v>2.3215426041669596E-2</c:v>
                </c:pt>
                <c:pt idx="136">
                  <c:v>-1.0294748749998583E-2</c:v>
                </c:pt>
                <c:pt idx="137">
                  <c:v>-1.2667269901959433E-2</c:v>
                </c:pt>
                <c:pt idx="138">
                  <c:v>-7.9516528125072594E-3</c:v>
                </c:pt>
                <c:pt idx="139">
                  <c:v>-5.4698073385415352E-2</c:v>
                </c:pt>
                <c:pt idx="140">
                  <c:v>-6.251814458333263E-2</c:v>
                </c:pt>
                <c:pt idx="141">
                  <c:v>-3.5984544687498288E-2</c:v>
                </c:pt>
                <c:pt idx="142">
                  <c:v>-7.2860208333318799E-3</c:v>
                </c:pt>
                <c:pt idx="143">
                  <c:v>-4.8487470833319113E-3</c:v>
                </c:pt>
                <c:pt idx="144">
                  <c:v>1.8996118125001484E-2</c:v>
                </c:pt>
                <c:pt idx="145">
                  <c:v>-3.9107118124998508E-2</c:v>
                </c:pt>
                <c:pt idx="146">
                  <c:v>7.420026479166883E-2</c:v>
                </c:pt>
                <c:pt idx="147">
                  <c:v>8.808330604165937E-2</c:v>
                </c:pt>
                <c:pt idx="148">
                  <c:v>-3.0226344583332065E-2</c:v>
                </c:pt>
                <c:pt idx="149">
                  <c:v>4.3200466764707124E-2</c:v>
                </c:pt>
                <c:pt idx="150">
                  <c:v>-2.7806994479173952E-2</c:v>
                </c:pt>
                <c:pt idx="151">
                  <c:v>-4.3962793385415339E-2</c:v>
                </c:pt>
                <c:pt idx="152">
                  <c:v>-3.3987035416665951E-2</c:v>
                </c:pt>
                <c:pt idx="153">
                  <c:v>-2.8739946354165824E-2</c:v>
                </c:pt>
                <c:pt idx="154">
                  <c:v>-4.2143841666665766E-2</c:v>
                </c:pt>
                <c:pt idx="155">
                  <c:v>-2.1057401249999524E-2</c:v>
                </c:pt>
                <c:pt idx="156">
                  <c:v>3.291371979166649E-2</c:v>
                </c:pt>
                <c:pt idx="157">
                  <c:v>-1.9107300625000267E-2</c:v>
                </c:pt>
                <c:pt idx="158">
                  <c:v>8.2837745625000209E-2</c:v>
                </c:pt>
                <c:pt idx="159">
                  <c:v>8.9485471041667486E-2</c:v>
                </c:pt>
                <c:pt idx="160">
                  <c:v>0.11805293541666628</c:v>
                </c:pt>
                <c:pt idx="161">
                  <c:v>6.6167500098038956E-2</c:v>
                </c:pt>
                <c:pt idx="162">
                  <c:v>1.9428811354167574E-2</c:v>
                </c:pt>
                <c:pt idx="163">
                  <c:v>-0.10211271088541687</c:v>
                </c:pt>
                <c:pt idx="164">
                  <c:v>-0.11075580708333335</c:v>
                </c:pt>
                <c:pt idx="165">
                  <c:v>-6.3204559687499995E-2</c:v>
                </c:pt>
                <c:pt idx="166">
                  <c:v>-8.7674415833333269E-2</c:v>
                </c:pt>
                <c:pt idx="167">
                  <c:v>2.9630289583333053E-2</c:v>
                </c:pt>
                <c:pt idx="168">
                  <c:v>-3.0735623541666677E-2</c:v>
                </c:pt>
                <c:pt idx="169">
                  <c:v>5.1146056874999679E-2</c:v>
                </c:pt>
                <c:pt idx="170">
                  <c:v>8.9196326458333614E-2</c:v>
                </c:pt>
                <c:pt idx="171">
                  <c:v>-2.1646033124998909E-2</c:v>
                </c:pt>
                <c:pt idx="172">
                  <c:v>7.6414628749999824E-2</c:v>
                </c:pt>
                <c:pt idx="173">
                  <c:v>-2.7123749019609678E-3</c:v>
                </c:pt>
                <c:pt idx="174">
                  <c:v>9.5639838854167658E-2</c:v>
                </c:pt>
                <c:pt idx="175">
                  <c:v>-9.903321088541675E-2</c:v>
                </c:pt>
                <c:pt idx="176">
                  <c:v>-3.7859057083333286E-2</c:v>
                </c:pt>
                <c:pt idx="177">
                  <c:v>-0.10013897635416674</c:v>
                </c:pt>
                <c:pt idx="178">
                  <c:v>1.6277917499999933E-2</c:v>
                </c:pt>
                <c:pt idx="179">
                  <c:v>-2.7522960416667103E-2</c:v>
                </c:pt>
                <c:pt idx="180">
                  <c:v>-2.8005456875000199E-2</c:v>
                </c:pt>
                <c:pt idx="181">
                  <c:v>8.5291056874999549E-2</c:v>
                </c:pt>
                <c:pt idx="182">
                  <c:v>-1.4092506874999772E-2</c:v>
                </c:pt>
                <c:pt idx="183">
                  <c:v>0.11922021687500106</c:v>
                </c:pt>
                <c:pt idx="184">
                  <c:v>4.9402212083333175E-2</c:v>
                </c:pt>
                <c:pt idx="185">
                  <c:v>-3.6211208235294445E-2</c:v>
                </c:pt>
                <c:pt idx="186">
                  <c:v>9.0440005520834255E-2</c:v>
                </c:pt>
                <c:pt idx="187">
                  <c:v>-8.5028085052083618E-2</c:v>
                </c:pt>
                <c:pt idx="188">
                  <c:v>-5.4891232083333491E-2</c:v>
                </c:pt>
                <c:pt idx="189">
                  <c:v>-0.17586749635416593</c:v>
                </c:pt>
                <c:pt idx="190">
                  <c:v>-5.177412749999924E-2</c:v>
                </c:pt>
                <c:pt idx="191">
                  <c:v>-1.5635887499994838E-3</c:v>
                </c:pt>
                <c:pt idx="192">
                  <c:v>2.7489081458334088E-2</c:v>
                </c:pt>
                <c:pt idx="193">
                  <c:v>8.6737501875000567E-2</c:v>
                </c:pt>
                <c:pt idx="194">
                  <c:v>7.8421891458334309E-2</c:v>
                </c:pt>
                <c:pt idx="195">
                  <c:v>9.5208118749916526E-3</c:v>
                </c:pt>
                <c:pt idx="196">
                  <c:v>4.2377633750000365E-2</c:v>
                </c:pt>
                <c:pt idx="197">
                  <c:v>-3.2549336568626797E-2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6-4388-BA6E-5BBE375C5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787295"/>
        <c:axId val="1147856111"/>
      </c:lineChart>
      <c:catAx>
        <c:axId val="1347787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856111"/>
        <c:crosses val="autoZero"/>
        <c:auto val="1"/>
        <c:lblAlgn val="ctr"/>
        <c:lblOffset val="100"/>
        <c:noMultiLvlLbl val="0"/>
      </c:catAx>
      <c:valAx>
        <c:axId val="114785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78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291845</xdr:colOff>
      <xdr:row>1</xdr:row>
      <xdr:rowOff>144407</xdr:rowOff>
    </xdr:from>
    <xdr:to>
      <xdr:col>25</xdr:col>
      <xdr:colOff>515760</xdr:colOff>
      <xdr:row>23</xdr:row>
      <xdr:rowOff>109100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9158B4-3721-4DDA-B09C-71F1F1B9F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229238</xdr:colOff>
      <xdr:row>1</xdr:row>
      <xdr:rowOff>132678</xdr:rowOff>
    </xdr:from>
    <xdr:to>
      <xdr:col>37</xdr:col>
      <xdr:colOff>326103</xdr:colOff>
      <xdr:row>22</xdr:row>
      <xdr:rowOff>14080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4DE773-CA65-4C91-8EE2-149590BE3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479301</xdr:colOff>
      <xdr:row>25</xdr:row>
      <xdr:rowOff>21370</xdr:rowOff>
    </xdr:from>
    <xdr:to>
      <xdr:col>25</xdr:col>
      <xdr:colOff>52662</xdr:colOff>
      <xdr:row>44</xdr:row>
      <xdr:rowOff>164856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CE2DEF-A5F4-4E6F-8E22-070251C0C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382373</xdr:colOff>
      <xdr:row>24</xdr:row>
      <xdr:rowOff>25948</xdr:rowOff>
    </xdr:from>
    <xdr:to>
      <xdr:col>38</xdr:col>
      <xdr:colOff>203780</xdr:colOff>
      <xdr:row>44</xdr:row>
      <xdr:rowOff>179358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1034E4B-E69F-4C8B-A301-01058D619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F7350C-9232-4A11-A973-627D3D09C32E}" name="Table1" displayName="Table1" ref="A1:H205" totalsRowShown="0">
  <autoFilter ref="A1:H205" xr:uid="{BFF7350C-9232-4A11-A973-627D3D09C32E}"/>
  <tableColumns count="8">
    <tableColumn id="1" xr3:uid="{46E7D1A3-28DA-4551-B8CB-99561DE8499D}" name="Month"/>
    <tableColumn id="2" xr3:uid="{61F2E419-D764-450E-AB44-A3F3F2825C34}" name="fecha" dataDxfId="4"/>
    <tableColumn id="3" xr3:uid="{3F4B8E6D-88D4-4380-AEC7-6D19BAF83C54}" name="Cost"/>
    <tableColumn id="5" xr3:uid="{765B923E-3816-4E11-B058-CAC3289FFA05}" name="Tendencia"/>
    <tableColumn id="6" xr3:uid="{5ABCC4F5-EF30-48F0-B548-49DE5892E224}" name="Serie sin tendencia" dataDxfId="3">
      <calculatedColumnFormula>Table1[[#This Row],[Cost]]-Table1[[#This Row],[Tendencia]]</calculatedColumnFormula>
    </tableColumn>
    <tableColumn id="7" xr3:uid="{2EBA892B-F21F-4CCE-BBC8-BCE3FAD418F3}" name="Mes" dataDxfId="2">
      <calculatedColumnFormula>MONTH(Table1[[#This Row],[fecha]])</calculatedColumnFormula>
    </tableColumn>
    <tableColumn id="8" xr3:uid="{D8625A9D-C57A-4C8B-B88A-DB1D9241E73F}" name="Estacionalidad" dataDxfId="1">
      <calculatedColumnFormula array="1">_xlfn.XLOOKUP(Table1[[#This Row],[Mes]],_xlfn.ANCHORARRAY($J$2),_xlfn.ANCHORARRAY($K$2))</calculatedColumnFormula>
    </tableColumn>
    <tableColumn id="9" xr3:uid="{A7DE0AEA-D15E-4061-ADD5-6E5E53282C1D}" name="Residual" dataDxfId="0">
      <calculatedColumnFormula>Table1[[#This Row],[Cost]]-Table1[[#This Row],[Tendencia]]-Table1[[#This Row],[Estacionalidad]]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8CC0-F6D3-41EB-A846-5CD7B3285BAA}">
  <dimension ref="A1:K205"/>
  <sheetViews>
    <sheetView tabSelected="1" topLeftCell="N1" zoomScale="88" zoomScaleNormal="220" workbookViewId="0">
      <selection activeCell="AN13" sqref="AN13"/>
    </sheetView>
  </sheetViews>
  <sheetFormatPr defaultRowHeight="15" x14ac:dyDescent="0.25"/>
  <cols>
    <col min="2" max="2" width="11.5703125" bestFit="1" customWidth="1"/>
    <col min="4" max="4" width="14.140625" bestFit="1" customWidth="1"/>
    <col min="5" max="5" width="20.85546875" bestFit="1" customWidth="1"/>
    <col min="7" max="7" width="20.28515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</row>
    <row r="2" spans="1:11" x14ac:dyDescent="0.25">
      <c r="A2" t="s">
        <v>3</v>
      </c>
      <c r="B2" s="1">
        <v>33420</v>
      </c>
      <c r="C2">
        <v>0.42979499999999998</v>
      </c>
      <c r="F2">
        <f>MONTH(Table1[[#This Row],[fecha]])</f>
        <v>7</v>
      </c>
      <c r="H2" s="2"/>
      <c r="J2" cm="1">
        <f t="array" ref="J2:J13">_xlfn.SEQUENCE(12, 1, 1,1)</f>
        <v>1</v>
      </c>
      <c r="K2" cm="1">
        <f t="array" ref="K2:K13">AVERAGEIF(F7:F199,_xlfn.ANCHORARRAY(J2),E7:E199)</f>
        <v>0.2106900778124991</v>
      </c>
    </row>
    <row r="3" spans="1:11" x14ac:dyDescent="0.25">
      <c r="A3" t="s">
        <v>4</v>
      </c>
      <c r="B3" s="1">
        <v>33451</v>
      </c>
      <c r="C3">
        <v>0.40090599999999998</v>
      </c>
      <c r="F3">
        <f>MONTH(Table1[[#This Row],[fecha]])</f>
        <v>8</v>
      </c>
      <c r="H3" s="2"/>
      <c r="J3">
        <v>2</v>
      </c>
      <c r="K3">
        <v>-0.2417887891145831</v>
      </c>
    </row>
    <row r="4" spans="1:11" x14ac:dyDescent="0.25">
      <c r="A4" t="s">
        <v>5</v>
      </c>
      <c r="B4" s="1">
        <v>33482</v>
      </c>
      <c r="C4">
        <v>0.43215900000000002</v>
      </c>
      <c r="F4">
        <f>MONTH(Table1[[#This Row],[fecha]])</f>
        <v>9</v>
      </c>
      <c r="H4" s="2"/>
      <c r="J4">
        <v>3</v>
      </c>
      <c r="K4">
        <v>-0.17488669291666656</v>
      </c>
    </row>
    <row r="5" spans="1:11" x14ac:dyDescent="0.25">
      <c r="A5" t="s">
        <v>6</v>
      </c>
      <c r="B5" s="1">
        <v>33512</v>
      </c>
      <c r="C5">
        <v>0.49254300000000001</v>
      </c>
      <c r="F5">
        <f>MONTH(Table1[[#This Row],[fecha]])</f>
        <v>10</v>
      </c>
      <c r="H5" s="2"/>
      <c r="J5">
        <v>4</v>
      </c>
      <c r="K5">
        <v>-0.19169227364583324</v>
      </c>
    </row>
    <row r="6" spans="1:11" x14ac:dyDescent="0.25">
      <c r="A6" t="s">
        <v>7</v>
      </c>
      <c r="B6" s="1">
        <v>33543</v>
      </c>
      <c r="C6">
        <v>0.50236899999999995</v>
      </c>
      <c r="F6">
        <f>MONTH(Table1[[#This Row],[fecha]])</f>
        <v>11</v>
      </c>
      <c r="H6" s="2"/>
      <c r="J6">
        <v>5</v>
      </c>
      <c r="K6">
        <v>-0.13691233416666657</v>
      </c>
    </row>
    <row r="7" spans="1:11" x14ac:dyDescent="0.25">
      <c r="A7" t="s">
        <v>8</v>
      </c>
      <c r="B7" s="1">
        <v>33573</v>
      </c>
      <c r="C7">
        <v>0.60265199999999997</v>
      </c>
      <c r="D7">
        <f>AVERAGE(C2:C13)</f>
        <v>0.44668783333333328</v>
      </c>
      <c r="E7">
        <f>Table1[[#This Row],[Cost]]-Table1[[#This Row],[Tendencia]]</f>
        <v>0.15596416666666668</v>
      </c>
      <c r="F7">
        <f>MONTH(Table1[[#This Row],[fecha]])</f>
        <v>12</v>
      </c>
      <c r="G7" cm="1">
        <f t="array" ref="G7">_xlfn.XLOOKUP(Table1[[#This Row],[Mes]],_xlfn.ANCHORARRAY($J$2),_xlfn.ANCHORARRAY($K$2))</f>
        <v>0.23989462490196112</v>
      </c>
      <c r="H7" s="2">
        <f>Table1[[#This Row],[Cost]]-Table1[[#This Row],[Tendencia]]-Table1[[#This Row],[Estacionalidad]]</f>
        <v>-8.3930458235294436E-2</v>
      </c>
      <c r="J7">
        <v>6</v>
      </c>
      <c r="K7">
        <v>-9.9158206249999631E-2</v>
      </c>
    </row>
    <row r="8" spans="1:11" x14ac:dyDescent="0.25">
      <c r="A8" t="s">
        <v>9</v>
      </c>
      <c r="B8" s="1">
        <v>33604</v>
      </c>
      <c r="C8">
        <v>0.66011900000000001</v>
      </c>
      <c r="D8">
        <f t="shared" ref="D8:D71" si="0">AVERAGE(C3:C14)</f>
        <v>0.45115397249999983</v>
      </c>
      <c r="E8">
        <f>Table1[[#This Row],[Cost]]-Table1[[#This Row],[Tendencia]]</f>
        <v>0.20896502750000018</v>
      </c>
      <c r="F8">
        <f>MONTH(Table1[[#This Row],[fecha]])</f>
        <v>1</v>
      </c>
      <c r="G8" cm="1">
        <f t="array" ref="G8">_xlfn.XLOOKUP(Table1[[#This Row],[Mes]],_xlfn.ANCHORARRAY($J$2),_xlfn.ANCHORARRAY($K$2))</f>
        <v>0.2106900778124991</v>
      </c>
      <c r="H8" s="2">
        <f>Table1[[#This Row],[Cost]]-Table1[[#This Row],[Tendencia]]-Table1[[#This Row],[Estacionalidad]]</f>
        <v>-1.7250503124989214E-3</v>
      </c>
      <c r="J8">
        <v>7</v>
      </c>
      <c r="K8">
        <v>-1.1719376458333233E-2</v>
      </c>
    </row>
    <row r="9" spans="1:11" x14ac:dyDescent="0.25">
      <c r="A9" t="s">
        <v>10</v>
      </c>
      <c r="B9" s="1">
        <v>33635</v>
      </c>
      <c r="C9">
        <v>0.33622000000000002</v>
      </c>
      <c r="D9">
        <f t="shared" si="0"/>
        <v>0.45736709083333316</v>
      </c>
      <c r="E9">
        <f>Table1[[#This Row],[Cost]]-Table1[[#This Row],[Tendencia]]</f>
        <v>-0.12114709083333314</v>
      </c>
      <c r="F9">
        <f>MONTH(Table1[[#This Row],[fecha]])</f>
        <v>2</v>
      </c>
      <c r="G9" cm="1">
        <f t="array" ref="G9">_xlfn.XLOOKUP(Table1[[#This Row],[Mes]],_xlfn.ANCHORARRAY($J$2),_xlfn.ANCHORARRAY($K$2))</f>
        <v>-0.2417887891145831</v>
      </c>
      <c r="H9" s="2">
        <f>Table1[[#This Row],[Cost]]-Table1[[#This Row],[Tendencia]]-Table1[[#This Row],[Estacionalidad]]</f>
        <v>0.12064169828124996</v>
      </c>
      <c r="J9">
        <v>8</v>
      </c>
      <c r="K9">
        <v>3.9435276458333612E-2</v>
      </c>
    </row>
    <row r="10" spans="1:11" x14ac:dyDescent="0.25">
      <c r="A10" t="s">
        <v>11</v>
      </c>
      <c r="B10" s="1">
        <v>33664</v>
      </c>
      <c r="C10">
        <v>0.35134799999999999</v>
      </c>
      <c r="D10">
        <f t="shared" si="0"/>
        <v>0.46591726083333312</v>
      </c>
      <c r="E10">
        <f>Table1[[#This Row],[Cost]]-Table1[[#This Row],[Tendencia]]</f>
        <v>-0.11456926083333313</v>
      </c>
      <c r="F10">
        <f>MONTH(Table1[[#This Row],[fecha]])</f>
        <v>3</v>
      </c>
      <c r="G10" cm="1">
        <f t="array" ref="G10">_xlfn.XLOOKUP(Table1[[#This Row],[Mes]],_xlfn.ANCHORARRAY($J$2),_xlfn.ANCHORARRAY($K$2))</f>
        <v>-0.17488669291666656</v>
      </c>
      <c r="H10" s="2">
        <f>Table1[[#This Row],[Cost]]-Table1[[#This Row],[Tendencia]]-Table1[[#This Row],[Estacionalidad]]</f>
        <v>6.0317432083333428E-2</v>
      </c>
      <c r="J10">
        <v>9</v>
      </c>
      <c r="K10">
        <v>8.5093256874999718E-2</v>
      </c>
    </row>
    <row r="11" spans="1:11" x14ac:dyDescent="0.25">
      <c r="A11" t="s">
        <v>12</v>
      </c>
      <c r="B11" s="1">
        <v>33695</v>
      </c>
      <c r="C11">
        <v>0.37980799999999998</v>
      </c>
      <c r="D11">
        <f t="shared" si="0"/>
        <v>0.47225585499999978</v>
      </c>
      <c r="E11">
        <f>Table1[[#This Row],[Cost]]-Table1[[#This Row],[Tendencia]]</f>
        <v>-9.2447854999999801E-2</v>
      </c>
      <c r="F11">
        <f>MONTH(Table1[[#This Row],[fecha]])</f>
        <v>4</v>
      </c>
      <c r="G11" cm="1">
        <f t="array" ref="G11">_xlfn.XLOOKUP(Table1[[#This Row],[Mes]],_xlfn.ANCHORARRAY($J$2),_xlfn.ANCHORARRAY($K$2))</f>
        <v>-0.19169227364583324</v>
      </c>
      <c r="H11" s="2">
        <f>Table1[[#This Row],[Cost]]-Table1[[#This Row],[Tendencia]]-Table1[[#This Row],[Estacionalidad]]</f>
        <v>9.9244418645833443E-2</v>
      </c>
      <c r="J11">
        <v>10</v>
      </c>
      <c r="K11">
        <v>0.13081461645833237</v>
      </c>
    </row>
    <row r="12" spans="1:11" x14ac:dyDescent="0.25">
      <c r="A12" t="s">
        <v>13</v>
      </c>
      <c r="B12" s="1">
        <v>33725</v>
      </c>
      <c r="C12">
        <v>0.36180099999999998</v>
      </c>
      <c r="D12">
        <f t="shared" si="0"/>
        <v>0.47999371249999984</v>
      </c>
      <c r="E12">
        <f>Table1[[#This Row],[Cost]]-Table1[[#This Row],[Tendencia]]</f>
        <v>-0.11819271249999985</v>
      </c>
      <c r="F12">
        <f>MONTH(Table1[[#This Row],[fecha]])</f>
        <v>5</v>
      </c>
      <c r="G12" cm="1">
        <f t="array" ref="G12">_xlfn.XLOOKUP(Table1[[#This Row],[Mes]],_xlfn.ANCHORARRAY($J$2),_xlfn.ANCHORARRAY($K$2))</f>
        <v>-0.13691233416666657</v>
      </c>
      <c r="H12" s="2">
        <f>Table1[[#This Row],[Cost]]-Table1[[#This Row],[Tendencia]]-Table1[[#This Row],[Estacionalidad]]</f>
        <v>1.8719621666666714E-2</v>
      </c>
      <c r="J12">
        <v>11</v>
      </c>
      <c r="K12">
        <v>0.14559653791666705</v>
      </c>
    </row>
    <row r="13" spans="1:11" x14ac:dyDescent="0.25">
      <c r="A13" t="s">
        <v>14</v>
      </c>
      <c r="B13" s="1">
        <v>33756</v>
      </c>
      <c r="C13">
        <v>0.41053400000000001</v>
      </c>
      <c r="D13">
        <f t="shared" si="0"/>
        <v>0.49404419416666651</v>
      </c>
      <c r="E13">
        <f>Table1[[#This Row],[Cost]]-Table1[[#This Row],[Tendencia]]</f>
        <v>-8.3510194166666496E-2</v>
      </c>
      <c r="F13">
        <f>MONTH(Table1[[#This Row],[fecha]])</f>
        <v>6</v>
      </c>
      <c r="G13" cm="1">
        <f t="array" ref="G13">_xlfn.XLOOKUP(Table1[[#This Row],[Mes]],_xlfn.ANCHORARRAY($J$2),_xlfn.ANCHORARRAY($K$2))</f>
        <v>-9.9158206249999631E-2</v>
      </c>
      <c r="H13" s="2">
        <f>Table1[[#This Row],[Cost]]-Table1[[#This Row],[Tendencia]]-Table1[[#This Row],[Estacionalidad]]</f>
        <v>1.5648012083333135E-2</v>
      </c>
      <c r="J13">
        <v>12</v>
      </c>
      <c r="K13">
        <v>0.23989462490196112</v>
      </c>
    </row>
    <row r="14" spans="1:11" x14ac:dyDescent="0.25">
      <c r="A14" t="s">
        <v>15</v>
      </c>
      <c r="B14" s="1">
        <v>33786</v>
      </c>
      <c r="C14">
        <v>0.48338866999999902</v>
      </c>
      <c r="D14">
        <f t="shared" si="0"/>
        <v>0.50165951083333316</v>
      </c>
      <c r="E14">
        <f>Table1[[#This Row],[Cost]]-Table1[[#This Row],[Tendencia]]</f>
        <v>-1.8270840833334134E-2</v>
      </c>
      <c r="F14">
        <f>MONTH(Table1[[#This Row],[fecha]])</f>
        <v>7</v>
      </c>
      <c r="G14" cm="1">
        <f t="array" ref="G14">_xlfn.XLOOKUP(Table1[[#This Row],[Mes]],_xlfn.ANCHORARRAY($J$2),_xlfn.ANCHORARRAY($K$2))</f>
        <v>-1.1719376458333233E-2</v>
      </c>
      <c r="H14" s="2">
        <f>Table1[[#This Row],[Cost]]-Table1[[#This Row],[Tendencia]]-Table1[[#This Row],[Estacionalidad]]</f>
        <v>-6.5514643750009018E-3</v>
      </c>
    </row>
    <row r="15" spans="1:11" x14ac:dyDescent="0.25">
      <c r="A15" t="s">
        <v>16</v>
      </c>
      <c r="B15" s="1">
        <v>33817</v>
      </c>
      <c r="C15">
        <v>0.47546341999999903</v>
      </c>
      <c r="D15">
        <f t="shared" si="0"/>
        <v>0.50593737249999982</v>
      </c>
      <c r="E15">
        <f>Table1[[#This Row],[Cost]]-Table1[[#This Row],[Tendencia]]</f>
        <v>-3.0473952500000789E-2</v>
      </c>
      <c r="F15">
        <f>MONTH(Table1[[#This Row],[fecha]])</f>
        <v>8</v>
      </c>
      <c r="G15" cm="1">
        <f t="array" ref="G15">_xlfn.XLOOKUP(Table1[[#This Row],[Mes]],_xlfn.ANCHORARRAY($J$2),_xlfn.ANCHORARRAY($K$2))</f>
        <v>3.9435276458333612E-2</v>
      </c>
      <c r="H15" s="2">
        <f>Table1[[#This Row],[Cost]]-Table1[[#This Row],[Tendencia]]-Table1[[#This Row],[Estacionalidad]]</f>
        <v>-6.9909228958334402E-2</v>
      </c>
    </row>
    <row r="16" spans="1:11" x14ac:dyDescent="0.25">
      <c r="A16" t="s">
        <v>17</v>
      </c>
      <c r="B16" s="1">
        <v>33848</v>
      </c>
      <c r="C16">
        <v>0.53476104000000002</v>
      </c>
      <c r="D16">
        <f t="shared" si="0"/>
        <v>0.51226530749999977</v>
      </c>
      <c r="E16">
        <f>Table1[[#This Row],[Cost]]-Table1[[#This Row],[Tendencia]]</f>
        <v>2.2495732500000254E-2</v>
      </c>
      <c r="F16">
        <f>MONTH(Table1[[#This Row],[fecha]])</f>
        <v>9</v>
      </c>
      <c r="G16" cm="1">
        <f t="array" ref="G16">_xlfn.XLOOKUP(Table1[[#This Row],[Mes]],_xlfn.ANCHORARRAY($J$2),_xlfn.ANCHORARRAY($K$2))</f>
        <v>8.5093256874999718E-2</v>
      </c>
      <c r="H16" s="2">
        <f>Table1[[#This Row],[Cost]]-Table1[[#This Row],[Tendencia]]-Table1[[#This Row],[Estacionalidad]]</f>
        <v>-6.2597524374999464E-2</v>
      </c>
    </row>
    <row r="17" spans="1:8" x14ac:dyDescent="0.25">
      <c r="A17" t="s">
        <v>18</v>
      </c>
      <c r="B17" s="1">
        <v>33878</v>
      </c>
      <c r="C17">
        <v>0.56860613000000004</v>
      </c>
      <c r="D17">
        <f t="shared" si="0"/>
        <v>0.51510548916666654</v>
      </c>
      <c r="E17">
        <f>Table1[[#This Row],[Cost]]-Table1[[#This Row],[Tendencia]]</f>
        <v>5.3500640833333502E-2</v>
      </c>
      <c r="F17">
        <f>MONTH(Table1[[#This Row],[fecha]])</f>
        <v>10</v>
      </c>
      <c r="G17" cm="1">
        <f t="array" ref="G17">_xlfn.XLOOKUP(Table1[[#This Row],[Mes]],_xlfn.ANCHORARRAY($J$2),_xlfn.ANCHORARRAY($K$2))</f>
        <v>0.13081461645833237</v>
      </c>
      <c r="H17" s="2">
        <f>Table1[[#This Row],[Cost]]-Table1[[#This Row],[Tendencia]]-Table1[[#This Row],[Estacionalidad]]</f>
        <v>-7.7313975624998865E-2</v>
      </c>
    </row>
    <row r="18" spans="1:8" x14ac:dyDescent="0.25">
      <c r="A18" t="s">
        <v>19</v>
      </c>
      <c r="B18" s="1">
        <v>33909</v>
      </c>
      <c r="C18">
        <v>0.59522328999999996</v>
      </c>
      <c r="D18">
        <f t="shared" si="0"/>
        <v>0.52069364083333325</v>
      </c>
      <c r="E18">
        <f>Table1[[#This Row],[Cost]]-Table1[[#This Row],[Tendencia]]</f>
        <v>7.4529649166666712E-2</v>
      </c>
      <c r="F18">
        <f>MONTH(Table1[[#This Row],[fecha]])</f>
        <v>11</v>
      </c>
      <c r="G18" cm="1">
        <f t="array" ref="G18">_xlfn.XLOOKUP(Table1[[#This Row],[Mes]],_xlfn.ANCHORARRAY($J$2),_xlfn.ANCHORARRAY($K$2))</f>
        <v>0.14559653791666705</v>
      </c>
      <c r="H18" s="2">
        <f>Table1[[#This Row],[Cost]]-Table1[[#This Row],[Tendencia]]-Table1[[#This Row],[Estacionalidad]]</f>
        <v>-7.1066888750000334E-2</v>
      </c>
    </row>
    <row r="19" spans="1:8" x14ac:dyDescent="0.25">
      <c r="A19" t="s">
        <v>20</v>
      </c>
      <c r="B19" s="1">
        <v>33939</v>
      </c>
      <c r="C19">
        <v>0.77125778</v>
      </c>
      <c r="D19">
        <f t="shared" si="0"/>
        <v>0.52565967583333317</v>
      </c>
      <c r="E19">
        <f>Table1[[#This Row],[Cost]]-Table1[[#This Row],[Tendencia]]</f>
        <v>0.24559810416666683</v>
      </c>
      <c r="F19">
        <f>MONTH(Table1[[#This Row],[fecha]])</f>
        <v>12</v>
      </c>
      <c r="G19" cm="1">
        <f t="array" ref="G19">_xlfn.XLOOKUP(Table1[[#This Row],[Mes]],_xlfn.ANCHORARRAY($J$2),_xlfn.ANCHORARRAY($K$2))</f>
        <v>0.23989462490196112</v>
      </c>
      <c r="H19" s="2">
        <f>Table1[[#This Row],[Cost]]-Table1[[#This Row],[Tendencia]]-Table1[[#This Row],[Estacionalidad]]</f>
        <v>5.7034792647057131E-3</v>
      </c>
    </row>
    <row r="20" spans="1:8" x14ac:dyDescent="0.25">
      <c r="A20" t="s">
        <v>21</v>
      </c>
      <c r="B20" s="1">
        <v>33970</v>
      </c>
      <c r="C20">
        <v>0.75150280000000003</v>
      </c>
      <c r="D20">
        <f t="shared" si="0"/>
        <v>0.52781142749999999</v>
      </c>
      <c r="E20">
        <f>Table1[[#This Row],[Cost]]-Table1[[#This Row],[Tendencia]]</f>
        <v>0.22369137250000004</v>
      </c>
      <c r="F20">
        <f>MONTH(Table1[[#This Row],[fecha]])</f>
        <v>1</v>
      </c>
      <c r="G20" cm="1">
        <f t="array" ref="G20">_xlfn.XLOOKUP(Table1[[#This Row],[Mes]],_xlfn.ANCHORARRAY($J$2),_xlfn.ANCHORARRAY($K$2))</f>
        <v>0.2106900778124991</v>
      </c>
      <c r="H20" s="2">
        <f>Table1[[#This Row],[Cost]]-Table1[[#This Row],[Tendencia]]-Table1[[#This Row],[Estacionalidad]]</f>
        <v>1.3001294687500942E-2</v>
      </c>
    </row>
    <row r="21" spans="1:8" x14ac:dyDescent="0.25">
      <c r="A21" t="s">
        <v>22</v>
      </c>
      <c r="B21" s="1">
        <v>34001</v>
      </c>
      <c r="C21">
        <v>0.38755434</v>
      </c>
      <c r="D21">
        <f t="shared" si="0"/>
        <v>0.53472639250000009</v>
      </c>
      <c r="E21">
        <f>Table1[[#This Row],[Cost]]-Table1[[#This Row],[Tendencia]]</f>
        <v>-0.14717205250000009</v>
      </c>
      <c r="F21">
        <f>MONTH(Table1[[#This Row],[fecha]])</f>
        <v>2</v>
      </c>
      <c r="G21" cm="1">
        <f t="array" ref="G21">_xlfn.XLOOKUP(Table1[[#This Row],[Mes]],_xlfn.ANCHORARRAY($J$2),_xlfn.ANCHORARRAY($K$2))</f>
        <v>-0.2417887891145831</v>
      </c>
      <c r="H21" s="2">
        <f>Table1[[#This Row],[Cost]]-Table1[[#This Row],[Tendencia]]-Table1[[#This Row],[Estacionalidad]]</f>
        <v>9.4616736614583002E-2</v>
      </c>
    </row>
    <row r="22" spans="1:8" x14ac:dyDescent="0.25">
      <c r="A22" t="s">
        <v>23</v>
      </c>
      <c r="B22" s="1">
        <v>34029</v>
      </c>
      <c r="C22">
        <v>0.42728322000000002</v>
      </c>
      <c r="D22">
        <f t="shared" si="0"/>
        <v>0.54028914416666662</v>
      </c>
      <c r="E22">
        <f>Table1[[#This Row],[Cost]]-Table1[[#This Row],[Tendencia]]</f>
        <v>-0.1130059241666666</v>
      </c>
      <c r="F22">
        <f>MONTH(Table1[[#This Row],[fecha]])</f>
        <v>3</v>
      </c>
      <c r="G22" cm="1">
        <f t="array" ref="G22">_xlfn.XLOOKUP(Table1[[#This Row],[Mes]],_xlfn.ANCHORARRAY($J$2),_xlfn.ANCHORARRAY($K$2))</f>
        <v>-0.17488669291666656</v>
      </c>
      <c r="H22" s="2">
        <f>Table1[[#This Row],[Cost]]-Table1[[#This Row],[Tendencia]]-Table1[[#This Row],[Estacionalidad]]</f>
        <v>6.1880768749999954E-2</v>
      </c>
    </row>
    <row r="23" spans="1:8" x14ac:dyDescent="0.25">
      <c r="A23" t="s">
        <v>24</v>
      </c>
      <c r="B23" s="1">
        <v>34060</v>
      </c>
      <c r="C23">
        <v>0.41389018</v>
      </c>
      <c r="D23">
        <f t="shared" si="0"/>
        <v>0.54565089166666669</v>
      </c>
      <c r="E23">
        <f>Table1[[#This Row],[Cost]]-Table1[[#This Row],[Tendencia]]</f>
        <v>-0.1317607116666667</v>
      </c>
      <c r="F23">
        <f>MONTH(Table1[[#This Row],[fecha]])</f>
        <v>4</v>
      </c>
      <c r="G23" cm="1">
        <f t="array" ref="G23">_xlfn.XLOOKUP(Table1[[#This Row],[Mes]],_xlfn.ANCHORARRAY($J$2),_xlfn.ANCHORARRAY($K$2))</f>
        <v>-0.19169227364583324</v>
      </c>
      <c r="H23" s="2">
        <f>Table1[[#This Row],[Cost]]-Table1[[#This Row],[Tendencia]]-Table1[[#This Row],[Estacionalidad]]</f>
        <v>5.9931561979166548E-2</v>
      </c>
    </row>
    <row r="24" spans="1:8" x14ac:dyDescent="0.25">
      <c r="A24" t="s">
        <v>25</v>
      </c>
      <c r="B24" s="1">
        <v>34090</v>
      </c>
      <c r="C24">
        <v>0.42885881999999997</v>
      </c>
      <c r="D24">
        <f t="shared" si="0"/>
        <v>0.5543494000000001</v>
      </c>
      <c r="E24">
        <f>Table1[[#This Row],[Cost]]-Table1[[#This Row],[Tendencia]]</f>
        <v>-0.12549058000000013</v>
      </c>
      <c r="F24">
        <f>MONTH(Table1[[#This Row],[fecha]])</f>
        <v>5</v>
      </c>
      <c r="G24" cm="1">
        <f t="array" ref="G24">_xlfn.XLOOKUP(Table1[[#This Row],[Mes]],_xlfn.ANCHORARRAY($J$2),_xlfn.ANCHORARRAY($K$2))</f>
        <v>-0.13691233416666657</v>
      </c>
      <c r="H24" s="2">
        <f>Table1[[#This Row],[Cost]]-Table1[[#This Row],[Tendencia]]-Table1[[#This Row],[Estacionalidad]]</f>
        <v>1.1421754166666437E-2</v>
      </c>
    </row>
    <row r="25" spans="1:8" x14ac:dyDescent="0.25">
      <c r="A25" t="s">
        <v>26</v>
      </c>
      <c r="B25" s="1">
        <v>34121</v>
      </c>
      <c r="C25">
        <v>0.47012641999999999</v>
      </c>
      <c r="D25">
        <f t="shared" si="0"/>
        <v>0.57033462749999997</v>
      </c>
      <c r="E25">
        <f>Table1[[#This Row],[Cost]]-Table1[[#This Row],[Tendencia]]</f>
        <v>-0.10020820749999998</v>
      </c>
      <c r="F25">
        <f>MONTH(Table1[[#This Row],[fecha]])</f>
        <v>6</v>
      </c>
      <c r="G25" cm="1">
        <f t="array" ref="G25">_xlfn.XLOOKUP(Table1[[#This Row],[Mes]],_xlfn.ANCHORARRAY($J$2),_xlfn.ANCHORARRAY($K$2))</f>
        <v>-9.9158206249999631E-2</v>
      </c>
      <c r="H25" s="2">
        <f>Table1[[#This Row],[Cost]]-Table1[[#This Row],[Tendencia]]-Table1[[#This Row],[Estacionalidad]]</f>
        <v>-1.0500012500003486E-3</v>
      </c>
    </row>
    <row r="26" spans="1:8" x14ac:dyDescent="0.25">
      <c r="A26" t="s">
        <v>27</v>
      </c>
      <c r="B26" s="1">
        <v>34151</v>
      </c>
      <c r="C26">
        <v>0.50920969000000005</v>
      </c>
      <c r="D26">
        <f t="shared" si="0"/>
        <v>0.57598650583333333</v>
      </c>
      <c r="E26">
        <f>Table1[[#This Row],[Cost]]-Table1[[#This Row],[Tendencia]]</f>
        <v>-6.6776815833333281E-2</v>
      </c>
      <c r="F26">
        <f>MONTH(Table1[[#This Row],[fecha]])</f>
        <v>7</v>
      </c>
      <c r="G26" cm="1">
        <f t="array" ref="G26">_xlfn.XLOOKUP(Table1[[#This Row],[Mes]],_xlfn.ANCHORARRAY($J$2),_xlfn.ANCHORARRAY($K$2))</f>
        <v>-1.1719376458333233E-2</v>
      </c>
      <c r="H26" s="2">
        <f>Table1[[#This Row],[Cost]]-Table1[[#This Row],[Tendencia]]-Table1[[#This Row],[Estacionalidad]]</f>
        <v>-5.5057439375000045E-2</v>
      </c>
    </row>
    <row r="27" spans="1:8" x14ac:dyDescent="0.25">
      <c r="A27" t="s">
        <v>28</v>
      </c>
      <c r="B27" s="1">
        <v>34182</v>
      </c>
      <c r="C27">
        <v>0.55844300000000002</v>
      </c>
      <c r="D27">
        <f t="shared" si="0"/>
        <v>0.58016279416666672</v>
      </c>
      <c r="E27">
        <f>Table1[[#This Row],[Cost]]-Table1[[#This Row],[Tendencia]]</f>
        <v>-2.1719794166666695E-2</v>
      </c>
      <c r="F27">
        <f>MONTH(Table1[[#This Row],[fecha]])</f>
        <v>8</v>
      </c>
      <c r="G27" cm="1">
        <f t="array" ref="G27">_xlfn.XLOOKUP(Table1[[#This Row],[Mes]],_xlfn.ANCHORARRAY($J$2),_xlfn.ANCHORARRAY($K$2))</f>
        <v>3.9435276458333612E-2</v>
      </c>
      <c r="H27" s="2">
        <f>Table1[[#This Row],[Cost]]-Table1[[#This Row],[Tendencia]]-Table1[[#This Row],[Estacionalidad]]</f>
        <v>-6.1155070625000307E-2</v>
      </c>
    </row>
    <row r="28" spans="1:8" x14ac:dyDescent="0.25">
      <c r="A28" t="s">
        <v>29</v>
      </c>
      <c r="B28" s="1">
        <v>34213</v>
      </c>
      <c r="C28">
        <v>0.60151405999999996</v>
      </c>
      <c r="D28">
        <f t="shared" si="0"/>
        <v>0.58673263166666667</v>
      </c>
      <c r="E28">
        <f>Table1[[#This Row],[Cost]]-Table1[[#This Row],[Tendencia]]</f>
        <v>1.4781428333333291E-2</v>
      </c>
      <c r="F28">
        <f>MONTH(Table1[[#This Row],[fecha]])</f>
        <v>9</v>
      </c>
      <c r="G28" cm="1">
        <f t="array" ref="G28">_xlfn.XLOOKUP(Table1[[#This Row],[Mes]],_xlfn.ANCHORARRAY($J$2),_xlfn.ANCHORARRAY($K$2))</f>
        <v>8.5093256874999718E-2</v>
      </c>
      <c r="H28" s="2">
        <f>Table1[[#This Row],[Cost]]-Table1[[#This Row],[Tendencia]]-Table1[[#This Row],[Estacionalidad]]</f>
        <v>-7.0311828541666427E-2</v>
      </c>
    </row>
    <row r="29" spans="1:8" x14ac:dyDescent="0.25">
      <c r="A29" t="s">
        <v>30</v>
      </c>
      <c r="B29" s="1">
        <v>34243</v>
      </c>
      <c r="C29">
        <v>0.63294709999999998</v>
      </c>
      <c r="D29">
        <f t="shared" si="0"/>
        <v>0.5914493808333332</v>
      </c>
      <c r="E29">
        <f>Table1[[#This Row],[Cost]]-Table1[[#This Row],[Tendencia]]</f>
        <v>4.149771916666678E-2</v>
      </c>
      <c r="F29">
        <f>MONTH(Table1[[#This Row],[fecha]])</f>
        <v>10</v>
      </c>
      <c r="G29" cm="1">
        <f t="array" ref="G29">_xlfn.XLOOKUP(Table1[[#This Row],[Mes]],_xlfn.ANCHORARRAY($J$2),_xlfn.ANCHORARRAY($K$2))</f>
        <v>0.13081461645833237</v>
      </c>
      <c r="H29" s="2">
        <f>Table1[[#This Row],[Cost]]-Table1[[#This Row],[Tendencia]]-Table1[[#This Row],[Estacionalidad]]</f>
        <v>-8.9316897291665587E-2</v>
      </c>
    </row>
    <row r="30" spans="1:8" x14ac:dyDescent="0.25">
      <c r="A30" t="s">
        <v>31</v>
      </c>
      <c r="B30" s="1">
        <v>34274</v>
      </c>
      <c r="C30">
        <v>0.69960538999999999</v>
      </c>
      <c r="D30">
        <f t="shared" si="0"/>
        <v>0.5982691674999997</v>
      </c>
      <c r="E30">
        <f>Table1[[#This Row],[Cost]]-Table1[[#This Row],[Tendencia]]</f>
        <v>0.10133622250000029</v>
      </c>
      <c r="F30">
        <f>MONTH(Table1[[#This Row],[fecha]])</f>
        <v>11</v>
      </c>
      <c r="G30" cm="1">
        <f t="array" ref="G30">_xlfn.XLOOKUP(Table1[[#This Row],[Mes]],_xlfn.ANCHORARRAY($J$2),_xlfn.ANCHORARRAY($K$2))</f>
        <v>0.14559653791666705</v>
      </c>
      <c r="H30" s="2">
        <f>Table1[[#This Row],[Cost]]-Table1[[#This Row],[Tendencia]]-Table1[[#This Row],[Estacionalidad]]</f>
        <v>-4.4260315416666751E-2</v>
      </c>
    </row>
    <row r="31" spans="1:8" x14ac:dyDescent="0.25">
      <c r="A31" t="s">
        <v>32</v>
      </c>
      <c r="B31" s="1">
        <v>34304</v>
      </c>
      <c r="C31">
        <v>0.96308050999999995</v>
      </c>
      <c r="D31">
        <f t="shared" si="0"/>
        <v>0.60413478166666645</v>
      </c>
      <c r="E31">
        <f>Table1[[#This Row],[Cost]]-Table1[[#This Row],[Tendencia]]</f>
        <v>0.35894572833333349</v>
      </c>
      <c r="F31">
        <f>MONTH(Table1[[#This Row],[fecha]])</f>
        <v>12</v>
      </c>
      <c r="G31" cm="1">
        <f t="array" ref="G31">_xlfn.XLOOKUP(Table1[[#This Row],[Mes]],_xlfn.ANCHORARRAY($J$2),_xlfn.ANCHORARRAY($K$2))</f>
        <v>0.23989462490196112</v>
      </c>
      <c r="H31" s="2">
        <f>Table1[[#This Row],[Cost]]-Table1[[#This Row],[Tendencia]]-Table1[[#This Row],[Estacionalidad]]</f>
        <v>0.11905110343137237</v>
      </c>
    </row>
    <row r="32" spans="1:8" x14ac:dyDescent="0.25">
      <c r="A32" t="s">
        <v>33</v>
      </c>
      <c r="B32" s="1">
        <v>34335</v>
      </c>
      <c r="C32">
        <v>0.81932534000000001</v>
      </c>
      <c r="D32">
        <f t="shared" si="0"/>
        <v>0.60821055083333309</v>
      </c>
      <c r="E32">
        <f>Table1[[#This Row],[Cost]]-Table1[[#This Row],[Tendencia]]</f>
        <v>0.21111478916666693</v>
      </c>
      <c r="F32">
        <f>MONTH(Table1[[#This Row],[fecha]])</f>
        <v>1</v>
      </c>
      <c r="G32" cm="1">
        <f t="array" ref="G32">_xlfn.XLOOKUP(Table1[[#This Row],[Mes]],_xlfn.ANCHORARRAY($J$2),_xlfn.ANCHORARRAY($K$2))</f>
        <v>0.2106900778124991</v>
      </c>
      <c r="H32" s="2">
        <f>Table1[[#This Row],[Cost]]-Table1[[#This Row],[Tendencia]]-Table1[[#This Row],[Estacionalidad]]</f>
        <v>4.2471135416782824E-4</v>
      </c>
    </row>
    <row r="33" spans="1:8" x14ac:dyDescent="0.25">
      <c r="A33" t="s">
        <v>34</v>
      </c>
      <c r="B33" s="1">
        <v>34366</v>
      </c>
      <c r="C33">
        <v>0.4376698</v>
      </c>
      <c r="D33">
        <f t="shared" si="0"/>
        <v>0.61774463916666655</v>
      </c>
      <c r="E33">
        <f>Table1[[#This Row],[Cost]]-Table1[[#This Row],[Tendencia]]</f>
        <v>-0.18007483916666656</v>
      </c>
      <c r="F33">
        <f>MONTH(Table1[[#This Row],[fecha]])</f>
        <v>2</v>
      </c>
      <c r="G33" cm="1">
        <f t="array" ref="G33">_xlfn.XLOOKUP(Table1[[#This Row],[Mes]],_xlfn.ANCHORARRAY($J$2),_xlfn.ANCHORARRAY($K$2))</f>
        <v>-0.2417887891145831</v>
      </c>
      <c r="H33" s="2">
        <f>Table1[[#This Row],[Cost]]-Table1[[#This Row],[Tendencia]]-Table1[[#This Row],[Estacionalidad]]</f>
        <v>6.1713949947916541E-2</v>
      </c>
    </row>
    <row r="34" spans="1:8" x14ac:dyDescent="0.25">
      <c r="A34" t="s">
        <v>35</v>
      </c>
      <c r="B34" s="1">
        <v>34394</v>
      </c>
      <c r="C34">
        <v>0.50612126999999996</v>
      </c>
      <c r="D34">
        <f t="shared" si="0"/>
        <v>0.62477658249999979</v>
      </c>
      <c r="E34">
        <f>Table1[[#This Row],[Cost]]-Table1[[#This Row],[Tendencia]]</f>
        <v>-0.11865531249999983</v>
      </c>
      <c r="F34">
        <f>MONTH(Table1[[#This Row],[fecha]])</f>
        <v>3</v>
      </c>
      <c r="G34" cm="1">
        <f t="array" ref="G34">_xlfn.XLOOKUP(Table1[[#This Row],[Mes]],_xlfn.ANCHORARRAY($J$2),_xlfn.ANCHORARRAY($K$2))</f>
        <v>-0.17488669291666656</v>
      </c>
      <c r="H34" s="2">
        <f>Table1[[#This Row],[Cost]]-Table1[[#This Row],[Tendencia]]-Table1[[#This Row],[Estacionalidad]]</f>
        <v>5.6231380416666726E-2</v>
      </c>
    </row>
    <row r="35" spans="1:8" x14ac:dyDescent="0.25">
      <c r="A35" t="s">
        <v>36</v>
      </c>
      <c r="B35" s="1">
        <v>34425</v>
      </c>
      <c r="C35">
        <v>0.47049116999999901</v>
      </c>
      <c r="D35">
        <f t="shared" si="0"/>
        <v>0.62950532249999991</v>
      </c>
      <c r="E35">
        <f>Table1[[#This Row],[Cost]]-Table1[[#This Row],[Tendencia]]</f>
        <v>-0.15901415250000089</v>
      </c>
      <c r="F35">
        <f>MONTH(Table1[[#This Row],[fecha]])</f>
        <v>4</v>
      </c>
      <c r="G35" cm="1">
        <f t="array" ref="G35">_xlfn.XLOOKUP(Table1[[#This Row],[Mes]],_xlfn.ANCHORARRAY($J$2),_xlfn.ANCHORARRAY($K$2))</f>
        <v>-0.19169227364583324</v>
      </c>
      <c r="H35" s="2">
        <f>Table1[[#This Row],[Cost]]-Table1[[#This Row],[Tendencia]]-Table1[[#This Row],[Estacionalidad]]</f>
        <v>3.2678121145832351E-2</v>
      </c>
    </row>
    <row r="36" spans="1:8" x14ac:dyDescent="0.25">
      <c r="A36" t="s">
        <v>37</v>
      </c>
      <c r="B36" s="1">
        <v>34455</v>
      </c>
      <c r="C36">
        <v>0.51069625999999901</v>
      </c>
      <c r="D36">
        <f t="shared" si="0"/>
        <v>0.63298017166666665</v>
      </c>
      <c r="E36">
        <f>Table1[[#This Row],[Cost]]-Table1[[#This Row],[Tendencia]]</f>
        <v>-0.12228391166666763</v>
      </c>
      <c r="F36">
        <f>MONTH(Table1[[#This Row],[fecha]])</f>
        <v>5</v>
      </c>
      <c r="G36" cm="1">
        <f t="array" ref="G36">_xlfn.XLOOKUP(Table1[[#This Row],[Mes]],_xlfn.ANCHORARRAY($J$2),_xlfn.ANCHORARRAY($K$2))</f>
        <v>-0.13691233416666657</v>
      </c>
      <c r="H36" s="2">
        <f>Table1[[#This Row],[Cost]]-Table1[[#This Row],[Tendencia]]-Table1[[#This Row],[Estacionalidad]]</f>
        <v>1.4628422499998933E-2</v>
      </c>
    </row>
    <row r="37" spans="1:8" x14ac:dyDescent="0.25">
      <c r="A37" t="s">
        <v>38</v>
      </c>
      <c r="B37" s="1">
        <v>34486</v>
      </c>
      <c r="C37">
        <v>0.54051378999999999</v>
      </c>
      <c r="D37">
        <f t="shared" si="0"/>
        <v>0.62049909833333317</v>
      </c>
      <c r="E37">
        <f>Table1[[#This Row],[Cost]]-Table1[[#This Row],[Tendencia]]</f>
        <v>-7.9985308333333172E-2</v>
      </c>
      <c r="F37">
        <f>MONTH(Table1[[#This Row],[fecha]])</f>
        <v>6</v>
      </c>
      <c r="G37" cm="1">
        <f t="array" ref="G37">_xlfn.XLOOKUP(Table1[[#This Row],[Mes]],_xlfn.ANCHORARRAY($J$2),_xlfn.ANCHORARRAY($K$2))</f>
        <v>-9.9158206249999631E-2</v>
      </c>
      <c r="H37" s="2">
        <f>Table1[[#This Row],[Cost]]-Table1[[#This Row],[Tendencia]]-Table1[[#This Row],[Estacionalidad]]</f>
        <v>1.9172897916666459E-2</v>
      </c>
    </row>
    <row r="38" spans="1:8" x14ac:dyDescent="0.25">
      <c r="A38" t="s">
        <v>39</v>
      </c>
      <c r="B38" s="1">
        <v>34516</v>
      </c>
      <c r="C38">
        <v>0.55811891999999996</v>
      </c>
      <c r="D38">
        <f t="shared" si="0"/>
        <v>0.61914803416666653</v>
      </c>
      <c r="E38">
        <f>Table1[[#This Row],[Cost]]-Table1[[#This Row],[Tendencia]]</f>
        <v>-6.1029114166666565E-2</v>
      </c>
      <c r="F38">
        <f>MONTH(Table1[[#This Row],[fecha]])</f>
        <v>7</v>
      </c>
      <c r="G38" cm="1">
        <f t="array" ref="G38">_xlfn.XLOOKUP(Table1[[#This Row],[Mes]],_xlfn.ANCHORARRAY($J$2),_xlfn.ANCHORARRAY($K$2))</f>
        <v>-1.1719376458333233E-2</v>
      </c>
      <c r="H38" s="2">
        <f>Table1[[#This Row],[Cost]]-Table1[[#This Row],[Tendencia]]-Table1[[#This Row],[Estacionalidad]]</f>
        <v>-4.9309737708333329E-2</v>
      </c>
    </row>
    <row r="39" spans="1:8" x14ac:dyDescent="0.25">
      <c r="A39" t="s">
        <v>40</v>
      </c>
      <c r="B39" s="1">
        <v>34547</v>
      </c>
      <c r="C39">
        <v>0.67285205999999997</v>
      </c>
      <c r="D39">
        <f t="shared" si="0"/>
        <v>0.62228040416666641</v>
      </c>
      <c r="E39">
        <f>Table1[[#This Row],[Cost]]-Table1[[#This Row],[Tendencia]]</f>
        <v>5.0571655833333562E-2</v>
      </c>
      <c r="F39">
        <f>MONTH(Table1[[#This Row],[fecha]])</f>
        <v>8</v>
      </c>
      <c r="G39" cm="1">
        <f t="array" ref="G39">_xlfn.XLOOKUP(Table1[[#This Row],[Mes]],_xlfn.ANCHORARRAY($J$2),_xlfn.ANCHORARRAY($K$2))</f>
        <v>3.9435276458333612E-2</v>
      </c>
      <c r="H39" s="2">
        <f>Table1[[#This Row],[Cost]]-Table1[[#This Row],[Tendencia]]-Table1[[#This Row],[Estacionalidad]]</f>
        <v>1.113637937499995E-2</v>
      </c>
    </row>
    <row r="40" spans="1:8" x14ac:dyDescent="0.25">
      <c r="A40" t="s">
        <v>41</v>
      </c>
      <c r="B40" s="1">
        <v>34578</v>
      </c>
      <c r="C40">
        <v>0.68589738</v>
      </c>
      <c r="D40">
        <f t="shared" si="0"/>
        <v>0.62615132333333301</v>
      </c>
      <c r="E40">
        <f>Table1[[#This Row],[Cost]]-Table1[[#This Row],[Tendencia]]</f>
        <v>5.9746056666666991E-2</v>
      </c>
      <c r="F40">
        <f>MONTH(Table1[[#This Row],[fecha]])</f>
        <v>9</v>
      </c>
      <c r="G40" cm="1">
        <f t="array" ref="G40">_xlfn.XLOOKUP(Table1[[#This Row],[Mes]],_xlfn.ANCHORARRAY($J$2),_xlfn.ANCHORARRAY($K$2))</f>
        <v>8.5093256874999718E-2</v>
      </c>
      <c r="H40" s="2">
        <f>Table1[[#This Row],[Cost]]-Table1[[#This Row],[Tendencia]]-Table1[[#This Row],[Estacionalidad]]</f>
        <v>-2.5347200208332726E-2</v>
      </c>
    </row>
    <row r="41" spans="1:8" x14ac:dyDescent="0.25">
      <c r="A41" t="s">
        <v>42</v>
      </c>
      <c r="B41" s="1">
        <v>34608</v>
      </c>
      <c r="C41">
        <v>0.68969197999999998</v>
      </c>
      <c r="D41">
        <f t="shared" si="0"/>
        <v>0.63086937749999972</v>
      </c>
      <c r="E41">
        <f>Table1[[#This Row],[Cost]]-Table1[[#This Row],[Tendencia]]</f>
        <v>5.8822602500000265E-2</v>
      </c>
      <c r="F41">
        <f>MONTH(Table1[[#This Row],[fecha]])</f>
        <v>10</v>
      </c>
      <c r="G41" cm="1">
        <f t="array" ref="G41">_xlfn.XLOOKUP(Table1[[#This Row],[Mes]],_xlfn.ANCHORARRAY($J$2),_xlfn.ANCHORARRAY($K$2))</f>
        <v>0.13081461645833237</v>
      </c>
      <c r="H41" s="2">
        <f>Table1[[#This Row],[Cost]]-Table1[[#This Row],[Tendencia]]-Table1[[#This Row],[Estacionalidad]]</f>
        <v>-7.1992013958332102E-2</v>
      </c>
    </row>
    <row r="42" spans="1:8" x14ac:dyDescent="0.25">
      <c r="A42" t="s">
        <v>43</v>
      </c>
      <c r="B42" s="1">
        <v>34639</v>
      </c>
      <c r="C42">
        <v>0.74130357999999996</v>
      </c>
      <c r="D42">
        <f t="shared" si="0"/>
        <v>0.63508217416666624</v>
      </c>
      <c r="E42">
        <f>Table1[[#This Row],[Cost]]-Table1[[#This Row],[Tendencia]]</f>
        <v>0.10622140583333373</v>
      </c>
      <c r="F42">
        <f>MONTH(Table1[[#This Row],[fecha]])</f>
        <v>11</v>
      </c>
      <c r="G42" cm="1">
        <f t="array" ref="G42">_xlfn.XLOOKUP(Table1[[#This Row],[Mes]],_xlfn.ANCHORARRAY($J$2),_xlfn.ANCHORARRAY($K$2))</f>
        <v>0.14559653791666705</v>
      </c>
      <c r="H42" s="2">
        <f>Table1[[#This Row],[Cost]]-Table1[[#This Row],[Tendencia]]-Table1[[#This Row],[Estacionalidad]]</f>
        <v>-3.937513208333332E-2</v>
      </c>
    </row>
    <row r="43" spans="1:8" x14ac:dyDescent="0.25">
      <c r="A43" t="s">
        <v>44</v>
      </c>
      <c r="B43" s="1">
        <v>34669</v>
      </c>
      <c r="C43">
        <v>0.81330762999999995</v>
      </c>
      <c r="D43">
        <f t="shared" si="0"/>
        <v>0.63912082833333284</v>
      </c>
      <c r="E43">
        <f>Table1[[#This Row],[Cost]]-Table1[[#This Row],[Tendencia]]</f>
        <v>0.17418680166666711</v>
      </c>
      <c r="F43">
        <f>MONTH(Table1[[#This Row],[fecha]])</f>
        <v>12</v>
      </c>
      <c r="G43" cm="1">
        <f t="array" ref="G43">_xlfn.XLOOKUP(Table1[[#This Row],[Mes]],_xlfn.ANCHORARRAY($J$2),_xlfn.ANCHORARRAY($K$2))</f>
        <v>0.23989462490196112</v>
      </c>
      <c r="H43" s="2">
        <f>Table1[[#This Row],[Cost]]-Table1[[#This Row],[Tendencia]]-Table1[[#This Row],[Estacionalidad]]</f>
        <v>-6.5707823235294005E-2</v>
      </c>
    </row>
    <row r="44" spans="1:8" x14ac:dyDescent="0.25">
      <c r="A44" t="s">
        <v>45</v>
      </c>
      <c r="B44" s="1">
        <v>34700</v>
      </c>
      <c r="C44">
        <v>0.80311257000000003</v>
      </c>
      <c r="D44">
        <f t="shared" si="0"/>
        <v>0.64453871999999945</v>
      </c>
      <c r="E44">
        <f>Table1[[#This Row],[Cost]]-Table1[[#This Row],[Tendencia]]</f>
        <v>0.15857385000000057</v>
      </c>
      <c r="F44">
        <f>MONTH(Table1[[#This Row],[fecha]])</f>
        <v>1</v>
      </c>
      <c r="G44" cm="1">
        <f t="array" ref="G44">_xlfn.XLOOKUP(Table1[[#This Row],[Mes]],_xlfn.ANCHORARRAY($J$2),_xlfn.ANCHORARRAY($K$2))</f>
        <v>0.2106900778124991</v>
      </c>
      <c r="H44" s="2">
        <f>Table1[[#This Row],[Cost]]-Table1[[#This Row],[Tendencia]]-Table1[[#This Row],[Estacionalidad]]</f>
        <v>-5.2116227812498528E-2</v>
      </c>
    </row>
    <row r="45" spans="1:8" x14ac:dyDescent="0.25">
      <c r="A45" t="s">
        <v>46</v>
      </c>
      <c r="B45" s="1">
        <v>34731</v>
      </c>
      <c r="C45">
        <v>0.47525824</v>
      </c>
      <c r="D45">
        <f t="shared" si="0"/>
        <v>0.65020415083333294</v>
      </c>
      <c r="E45">
        <f>Table1[[#This Row],[Cost]]-Table1[[#This Row],[Tendencia]]</f>
        <v>-0.17494591083333294</v>
      </c>
      <c r="F45">
        <f>MONTH(Table1[[#This Row],[fecha]])</f>
        <v>2</v>
      </c>
      <c r="G45" cm="1">
        <f t="array" ref="G45">_xlfn.XLOOKUP(Table1[[#This Row],[Mes]],_xlfn.ANCHORARRAY($J$2),_xlfn.ANCHORARRAY($K$2))</f>
        <v>-0.2417887891145831</v>
      </c>
      <c r="H45" s="2">
        <f>Table1[[#This Row],[Cost]]-Table1[[#This Row],[Tendencia]]-Table1[[#This Row],[Estacionalidad]]</f>
        <v>6.6842878281250157E-2</v>
      </c>
    </row>
    <row r="46" spans="1:8" x14ac:dyDescent="0.25">
      <c r="A46" t="s">
        <v>47</v>
      </c>
      <c r="B46" s="1">
        <v>34759</v>
      </c>
      <c r="C46">
        <v>0.55257229999999902</v>
      </c>
      <c r="D46">
        <f t="shared" si="0"/>
        <v>0.65349368249999962</v>
      </c>
      <c r="E46">
        <f>Table1[[#This Row],[Cost]]-Table1[[#This Row],[Tendencia]]</f>
        <v>-0.1009213825000006</v>
      </c>
      <c r="F46">
        <f>MONTH(Table1[[#This Row],[fecha]])</f>
        <v>3</v>
      </c>
      <c r="G46" cm="1">
        <f t="array" ref="G46">_xlfn.XLOOKUP(Table1[[#This Row],[Mes]],_xlfn.ANCHORARRAY($J$2),_xlfn.ANCHORARRAY($K$2))</f>
        <v>-0.17488669291666656</v>
      </c>
      <c r="H46" s="2">
        <f>Table1[[#This Row],[Cost]]-Table1[[#This Row],[Tendencia]]-Table1[[#This Row],[Estacionalidad]]</f>
        <v>7.3965310416665958E-2</v>
      </c>
    </row>
    <row r="47" spans="1:8" x14ac:dyDescent="0.25">
      <c r="A47" t="s">
        <v>48</v>
      </c>
      <c r="B47" s="1">
        <v>34790</v>
      </c>
      <c r="C47">
        <v>0.52710781999999901</v>
      </c>
      <c r="D47">
        <f t="shared" si="0"/>
        <v>0.66400293583333292</v>
      </c>
      <c r="E47">
        <f>Table1[[#This Row],[Cost]]-Table1[[#This Row],[Tendencia]]</f>
        <v>-0.13689511583333391</v>
      </c>
      <c r="F47">
        <f>MONTH(Table1[[#This Row],[fecha]])</f>
        <v>4</v>
      </c>
      <c r="G47" cm="1">
        <f t="array" ref="G47">_xlfn.XLOOKUP(Table1[[#This Row],[Mes]],_xlfn.ANCHORARRAY($J$2),_xlfn.ANCHORARRAY($K$2))</f>
        <v>-0.19169227364583324</v>
      </c>
      <c r="H47" s="2">
        <f>Table1[[#This Row],[Cost]]-Table1[[#This Row],[Tendencia]]-Table1[[#This Row],[Estacionalidad]]</f>
        <v>5.4797157812499331E-2</v>
      </c>
    </row>
    <row r="48" spans="1:8" x14ac:dyDescent="0.25">
      <c r="A48" t="s">
        <v>49</v>
      </c>
      <c r="B48" s="1">
        <v>34820</v>
      </c>
      <c r="C48">
        <v>0.56124981999999901</v>
      </c>
      <c r="D48">
        <f t="shared" si="0"/>
        <v>0.67006175999999973</v>
      </c>
      <c r="E48">
        <f>Table1[[#This Row],[Cost]]-Table1[[#This Row],[Tendencia]]</f>
        <v>-0.10881194000000072</v>
      </c>
      <c r="F48">
        <f>MONTH(Table1[[#This Row],[fecha]])</f>
        <v>5</v>
      </c>
      <c r="G48" cm="1">
        <f t="array" ref="G48">_xlfn.XLOOKUP(Table1[[#This Row],[Mes]],_xlfn.ANCHORARRAY($J$2),_xlfn.ANCHORARRAY($K$2))</f>
        <v>-0.13691233416666657</v>
      </c>
      <c r="H48" s="2">
        <f>Table1[[#This Row],[Cost]]-Table1[[#This Row],[Tendencia]]-Table1[[#This Row],[Estacionalidad]]</f>
        <v>2.8100394166665849E-2</v>
      </c>
    </row>
    <row r="49" spans="1:8" x14ac:dyDescent="0.25">
      <c r="A49" t="s">
        <v>50</v>
      </c>
      <c r="B49" s="1">
        <v>34851</v>
      </c>
      <c r="C49">
        <v>0.58897763999999997</v>
      </c>
      <c r="D49">
        <f t="shared" si="0"/>
        <v>0.67950721166666639</v>
      </c>
      <c r="E49">
        <f>Table1[[#This Row],[Cost]]-Table1[[#This Row],[Tendencia]]</f>
        <v>-9.052957166666642E-2</v>
      </c>
      <c r="F49">
        <f>MONTH(Table1[[#This Row],[fecha]])</f>
        <v>6</v>
      </c>
      <c r="G49" cm="1">
        <f t="array" ref="G49">_xlfn.XLOOKUP(Table1[[#This Row],[Mes]],_xlfn.ANCHORARRAY($J$2),_xlfn.ANCHORARRAY($K$2))</f>
        <v>-9.9158206249999631E-2</v>
      </c>
      <c r="H49" s="2">
        <f>Table1[[#This Row],[Cost]]-Table1[[#This Row],[Tendencia]]-Table1[[#This Row],[Estacionalidad]]</f>
        <v>8.6286345833332112E-3</v>
      </c>
    </row>
    <row r="50" spans="1:8" x14ac:dyDescent="0.25">
      <c r="A50" t="s">
        <v>51</v>
      </c>
      <c r="B50" s="1">
        <v>34881</v>
      </c>
      <c r="C50">
        <v>0.62313361999999906</v>
      </c>
      <c r="D50">
        <f t="shared" si="0"/>
        <v>0.69068749249999961</v>
      </c>
      <c r="E50">
        <f>Table1[[#This Row],[Cost]]-Table1[[#This Row],[Tendencia]]</f>
        <v>-6.7553872500000556E-2</v>
      </c>
      <c r="F50">
        <f>MONTH(Table1[[#This Row],[fecha]])</f>
        <v>7</v>
      </c>
      <c r="G50" cm="1">
        <f t="array" ref="G50">_xlfn.XLOOKUP(Table1[[#This Row],[Mes]],_xlfn.ANCHORARRAY($J$2),_xlfn.ANCHORARRAY($K$2))</f>
        <v>-1.1719376458333233E-2</v>
      </c>
      <c r="H50" s="2">
        <f>Table1[[#This Row],[Cost]]-Table1[[#This Row],[Tendencia]]-Table1[[#This Row],[Estacionalidad]]</f>
        <v>-5.583449604166732E-2</v>
      </c>
    </row>
    <row r="51" spans="1:8" x14ac:dyDescent="0.25">
      <c r="A51" t="s">
        <v>52</v>
      </c>
      <c r="B51" s="1">
        <v>34912</v>
      </c>
      <c r="C51">
        <v>0.74083723000000001</v>
      </c>
      <c r="D51">
        <f t="shared" si="0"/>
        <v>0.69514610999999971</v>
      </c>
      <c r="E51">
        <f>Table1[[#This Row],[Cost]]-Table1[[#This Row],[Tendencia]]</f>
        <v>4.5691120000000307E-2</v>
      </c>
      <c r="F51">
        <f>MONTH(Table1[[#This Row],[fecha]])</f>
        <v>8</v>
      </c>
      <c r="G51" cm="1">
        <f t="array" ref="G51">_xlfn.XLOOKUP(Table1[[#This Row],[Mes]],_xlfn.ANCHORARRAY($J$2),_xlfn.ANCHORARRAY($K$2))</f>
        <v>3.9435276458333612E-2</v>
      </c>
      <c r="H51" s="2">
        <f>Table1[[#This Row],[Cost]]-Table1[[#This Row],[Tendencia]]-Table1[[#This Row],[Estacionalidad]]</f>
        <v>6.2558435416666947E-3</v>
      </c>
    </row>
    <row r="52" spans="1:8" x14ac:dyDescent="0.25">
      <c r="A52" t="s">
        <v>53</v>
      </c>
      <c r="B52" s="1">
        <v>34943</v>
      </c>
      <c r="C52">
        <v>0.72537176000000003</v>
      </c>
      <c r="D52">
        <f t="shared" si="0"/>
        <v>0.69571007999999968</v>
      </c>
      <c r="E52">
        <f>Table1[[#This Row],[Cost]]-Table1[[#This Row],[Tendencia]]</f>
        <v>2.9661680000000357E-2</v>
      </c>
      <c r="F52">
        <f>MONTH(Table1[[#This Row],[fecha]])</f>
        <v>9</v>
      </c>
      <c r="G52" cm="1">
        <f t="array" ref="G52">_xlfn.XLOOKUP(Table1[[#This Row],[Mes]],_xlfn.ANCHORARRAY($J$2),_xlfn.ANCHORARRAY($K$2))</f>
        <v>8.5093256874999718E-2</v>
      </c>
      <c r="H52" s="2">
        <f>Table1[[#This Row],[Cost]]-Table1[[#This Row],[Tendencia]]-Table1[[#This Row],[Estacionalidad]]</f>
        <v>-5.5431576874999361E-2</v>
      </c>
    </row>
    <row r="53" spans="1:8" x14ac:dyDescent="0.25">
      <c r="A53" t="s">
        <v>54</v>
      </c>
      <c r="B53" s="1">
        <v>34973</v>
      </c>
      <c r="C53">
        <v>0.81580302000000005</v>
      </c>
      <c r="D53">
        <f t="shared" si="0"/>
        <v>0.69994039999999969</v>
      </c>
      <c r="E53">
        <f>Table1[[#This Row],[Cost]]-Table1[[#This Row],[Tendencia]]</f>
        <v>0.11586262000000036</v>
      </c>
      <c r="F53">
        <f>MONTH(Table1[[#This Row],[fecha]])</f>
        <v>10</v>
      </c>
      <c r="G53" cm="1">
        <f t="array" ref="G53">_xlfn.XLOOKUP(Table1[[#This Row],[Mes]],_xlfn.ANCHORARRAY($J$2),_xlfn.ANCHORARRAY($K$2))</f>
        <v>0.13081461645833237</v>
      </c>
      <c r="H53" s="2">
        <f>Table1[[#This Row],[Cost]]-Table1[[#This Row],[Tendencia]]-Table1[[#This Row],[Estacionalidad]]</f>
        <v>-1.4951996458332006E-2</v>
      </c>
    </row>
    <row r="54" spans="1:8" x14ac:dyDescent="0.25">
      <c r="A54" t="s">
        <v>55</v>
      </c>
      <c r="B54" s="1">
        <v>35004</v>
      </c>
      <c r="C54">
        <v>0.81400947000000001</v>
      </c>
      <c r="D54">
        <f t="shared" si="0"/>
        <v>0.70441353249999972</v>
      </c>
      <c r="E54">
        <f>Table1[[#This Row],[Cost]]-Table1[[#This Row],[Tendencia]]</f>
        <v>0.1095959375000003</v>
      </c>
      <c r="F54">
        <f>MONTH(Table1[[#This Row],[fecha]])</f>
        <v>11</v>
      </c>
      <c r="G54" cm="1">
        <f t="array" ref="G54">_xlfn.XLOOKUP(Table1[[#This Row],[Mes]],_xlfn.ANCHORARRAY($J$2),_xlfn.ANCHORARRAY($K$2))</f>
        <v>0.14559653791666705</v>
      </c>
      <c r="H54" s="2">
        <f>Table1[[#This Row],[Cost]]-Table1[[#This Row],[Tendencia]]-Table1[[#This Row],[Estacionalidad]]</f>
        <v>-3.600060041666675E-2</v>
      </c>
    </row>
    <row r="55" spans="1:8" x14ac:dyDescent="0.25">
      <c r="A55" t="s">
        <v>56</v>
      </c>
      <c r="B55" s="1">
        <v>35034</v>
      </c>
      <c r="C55">
        <v>0.92665304999999998</v>
      </c>
      <c r="D55">
        <f t="shared" si="0"/>
        <v>0.70484779333333314</v>
      </c>
      <c r="E55">
        <f>Table1[[#This Row],[Cost]]-Table1[[#This Row],[Tendencia]]</f>
        <v>0.22180525666666684</v>
      </c>
      <c r="F55">
        <f>MONTH(Table1[[#This Row],[fecha]])</f>
        <v>12</v>
      </c>
      <c r="G55" cm="1">
        <f t="array" ref="G55">_xlfn.XLOOKUP(Table1[[#This Row],[Mes]],_xlfn.ANCHORARRAY($J$2),_xlfn.ANCHORARRAY($K$2))</f>
        <v>0.23989462490196112</v>
      </c>
      <c r="H55" s="2">
        <f>Table1[[#This Row],[Cost]]-Table1[[#This Row],[Tendencia]]-Table1[[#This Row],[Estacionalidad]]</f>
        <v>-1.8089368235294279E-2</v>
      </c>
    </row>
    <row r="56" spans="1:8" x14ac:dyDescent="0.25">
      <c r="A56" t="s">
        <v>57</v>
      </c>
      <c r="B56" s="1">
        <v>35065</v>
      </c>
      <c r="C56">
        <v>0.93727594000000003</v>
      </c>
      <c r="D56">
        <f t="shared" si="0"/>
        <v>0.71189986166666641</v>
      </c>
      <c r="E56">
        <f>Table1[[#This Row],[Cost]]-Table1[[#This Row],[Tendencia]]</f>
        <v>0.22537607833333362</v>
      </c>
      <c r="F56">
        <f>MONTH(Table1[[#This Row],[fecha]])</f>
        <v>1</v>
      </c>
      <c r="G56" cm="1">
        <f t="array" ref="G56">_xlfn.XLOOKUP(Table1[[#This Row],[Mes]],_xlfn.ANCHORARRAY($J$2),_xlfn.ANCHORARRAY($K$2))</f>
        <v>0.2106900778124991</v>
      </c>
      <c r="H56" s="2">
        <f>Table1[[#This Row],[Cost]]-Table1[[#This Row],[Tendencia]]-Table1[[#This Row],[Estacionalidad]]</f>
        <v>1.4686000520834519E-2</v>
      </c>
    </row>
    <row r="57" spans="1:8" x14ac:dyDescent="0.25">
      <c r="A57" t="s">
        <v>58</v>
      </c>
      <c r="B57" s="1">
        <v>35096</v>
      </c>
      <c r="C57">
        <v>0.52876164999999997</v>
      </c>
      <c r="D57">
        <f t="shared" si="0"/>
        <v>0.71012192166666654</v>
      </c>
      <c r="E57">
        <f>Table1[[#This Row],[Cost]]-Table1[[#This Row],[Tendencia]]</f>
        <v>-0.18136027166666657</v>
      </c>
      <c r="F57">
        <f>MONTH(Table1[[#This Row],[fecha]])</f>
        <v>2</v>
      </c>
      <c r="G57" cm="1">
        <f t="array" ref="G57">_xlfn.XLOOKUP(Table1[[#This Row],[Mes]],_xlfn.ANCHORARRAY($J$2),_xlfn.ANCHORARRAY($K$2))</f>
        <v>-0.2417887891145831</v>
      </c>
      <c r="H57" s="2">
        <f>Table1[[#This Row],[Cost]]-Table1[[#This Row],[Tendencia]]-Table1[[#This Row],[Estacionalidad]]</f>
        <v>6.0428517447916524E-2</v>
      </c>
    </row>
    <row r="58" spans="1:8" x14ac:dyDescent="0.25">
      <c r="A58" t="s">
        <v>59</v>
      </c>
      <c r="B58" s="1">
        <v>35125</v>
      </c>
      <c r="C58">
        <v>0.55933993999999998</v>
      </c>
      <c r="D58">
        <f t="shared" si="0"/>
        <v>0.71170124916666655</v>
      </c>
      <c r="E58">
        <f>Table1[[#This Row],[Cost]]-Table1[[#This Row],[Tendencia]]</f>
        <v>-0.15236130916666657</v>
      </c>
      <c r="F58">
        <f>MONTH(Table1[[#This Row],[fecha]])</f>
        <v>3</v>
      </c>
      <c r="G58" cm="1">
        <f t="array" ref="G58">_xlfn.XLOOKUP(Table1[[#This Row],[Mes]],_xlfn.ANCHORARRAY($J$2),_xlfn.ANCHORARRAY($K$2))</f>
        <v>-0.17488669291666656</v>
      </c>
      <c r="H58" s="2">
        <f>Table1[[#This Row],[Cost]]-Table1[[#This Row],[Tendencia]]-Table1[[#This Row],[Estacionalidad]]</f>
        <v>2.2525383749999989E-2</v>
      </c>
    </row>
    <row r="59" spans="1:8" x14ac:dyDescent="0.25">
      <c r="A59" t="s">
        <v>60</v>
      </c>
      <c r="B59" s="1">
        <v>35156</v>
      </c>
      <c r="C59">
        <v>0.57787165999999901</v>
      </c>
      <c r="D59">
        <f t="shared" si="0"/>
        <v>0.71078892333333321</v>
      </c>
      <c r="E59">
        <f>Table1[[#This Row],[Cost]]-Table1[[#This Row],[Tendencia]]</f>
        <v>-0.1329172633333342</v>
      </c>
      <c r="F59">
        <f>MONTH(Table1[[#This Row],[fecha]])</f>
        <v>4</v>
      </c>
      <c r="G59" cm="1">
        <f t="array" ref="G59">_xlfn.XLOOKUP(Table1[[#This Row],[Mes]],_xlfn.ANCHORARRAY($J$2),_xlfn.ANCHORARRAY($K$2))</f>
        <v>-0.19169227364583324</v>
      </c>
      <c r="H59" s="2">
        <f>Table1[[#This Row],[Cost]]-Table1[[#This Row],[Tendencia]]-Table1[[#This Row],[Estacionalidad]]</f>
        <v>5.8775010312499043E-2</v>
      </c>
    </row>
    <row r="60" spans="1:8" x14ac:dyDescent="0.25">
      <c r="A60" t="s">
        <v>61</v>
      </c>
      <c r="B60" s="1">
        <v>35186</v>
      </c>
      <c r="C60">
        <v>0.61492740999999995</v>
      </c>
      <c r="D60">
        <f t="shared" si="0"/>
        <v>0.70866666333333317</v>
      </c>
      <c r="E60">
        <f>Table1[[#This Row],[Cost]]-Table1[[#This Row],[Tendencia]]</f>
        <v>-9.3739253333333217E-2</v>
      </c>
      <c r="F60">
        <f>MONTH(Table1[[#This Row],[fecha]])</f>
        <v>5</v>
      </c>
      <c r="G60" cm="1">
        <f t="array" ref="G60">_xlfn.XLOOKUP(Table1[[#This Row],[Mes]],_xlfn.ANCHORARRAY($J$2),_xlfn.ANCHORARRAY($K$2))</f>
        <v>-0.13691233416666657</v>
      </c>
      <c r="H60" s="2">
        <f>Table1[[#This Row],[Cost]]-Table1[[#This Row],[Tendencia]]-Table1[[#This Row],[Estacionalidad]]</f>
        <v>4.3173080833333349E-2</v>
      </c>
    </row>
    <row r="61" spans="1:8" x14ac:dyDescent="0.25">
      <c r="A61" t="s">
        <v>62</v>
      </c>
      <c r="B61" s="1">
        <v>35217</v>
      </c>
      <c r="C61">
        <v>0.59418877000000003</v>
      </c>
      <c r="D61">
        <f t="shared" si="0"/>
        <v>0.71236969249999993</v>
      </c>
      <c r="E61">
        <f>Table1[[#This Row],[Cost]]-Table1[[#This Row],[Tendencia]]</f>
        <v>-0.1181809224999999</v>
      </c>
      <c r="F61">
        <f>MONTH(Table1[[#This Row],[fecha]])</f>
        <v>6</v>
      </c>
      <c r="G61" cm="1">
        <f t="array" ref="G61">_xlfn.XLOOKUP(Table1[[#This Row],[Mes]],_xlfn.ANCHORARRAY($J$2),_xlfn.ANCHORARRAY($K$2))</f>
        <v>-9.9158206249999631E-2</v>
      </c>
      <c r="H61" s="2">
        <f>Table1[[#This Row],[Cost]]-Table1[[#This Row],[Tendencia]]-Table1[[#This Row],[Estacionalidad]]</f>
        <v>-1.9022716250000266E-2</v>
      </c>
    </row>
    <row r="62" spans="1:8" x14ac:dyDescent="0.25">
      <c r="A62" t="s">
        <v>63</v>
      </c>
      <c r="B62" s="1">
        <v>35247</v>
      </c>
      <c r="C62">
        <v>0.70775843999999999</v>
      </c>
      <c r="D62">
        <f t="shared" si="0"/>
        <v>0.70483282583333329</v>
      </c>
      <c r="E62">
        <f>Table1[[#This Row],[Cost]]-Table1[[#This Row],[Tendencia]]</f>
        <v>2.9256141666667013E-3</v>
      </c>
      <c r="F62">
        <f>MONTH(Table1[[#This Row],[fecha]])</f>
        <v>7</v>
      </c>
      <c r="G62" cm="1">
        <f t="array" ref="G62">_xlfn.XLOOKUP(Table1[[#This Row],[Mes]],_xlfn.ANCHORARRAY($J$2),_xlfn.ANCHORARRAY($K$2))</f>
        <v>-1.1719376458333233E-2</v>
      </c>
      <c r="H62" s="2">
        <f>Table1[[#This Row],[Cost]]-Table1[[#This Row],[Tendencia]]-Table1[[#This Row],[Estacionalidad]]</f>
        <v>1.4644990624999934E-2</v>
      </c>
    </row>
    <row r="63" spans="1:8" x14ac:dyDescent="0.25">
      <c r="A63" t="s">
        <v>64</v>
      </c>
      <c r="B63" s="1">
        <v>35278</v>
      </c>
      <c r="C63">
        <v>0.71950194999999995</v>
      </c>
      <c r="D63">
        <f t="shared" si="0"/>
        <v>0.69942123166666648</v>
      </c>
      <c r="E63">
        <f>Table1[[#This Row],[Cost]]-Table1[[#This Row],[Tendencia]]</f>
        <v>2.0080718333333469E-2</v>
      </c>
      <c r="F63">
        <f>MONTH(Table1[[#This Row],[fecha]])</f>
        <v>8</v>
      </c>
      <c r="G63" cm="1">
        <f t="array" ref="G63">_xlfn.XLOOKUP(Table1[[#This Row],[Mes]],_xlfn.ANCHORARRAY($J$2),_xlfn.ANCHORARRAY($K$2))</f>
        <v>3.9435276458333612E-2</v>
      </c>
      <c r="H63" s="2">
        <f>Table1[[#This Row],[Cost]]-Table1[[#This Row],[Tendencia]]-Table1[[#This Row],[Estacionalidad]]</f>
        <v>-1.9354558125000143E-2</v>
      </c>
    </row>
    <row r="64" spans="1:8" x14ac:dyDescent="0.25">
      <c r="A64" t="s">
        <v>65</v>
      </c>
      <c r="B64" s="1">
        <v>35309</v>
      </c>
      <c r="C64">
        <v>0.74432368999999998</v>
      </c>
      <c r="D64">
        <f t="shared" si="0"/>
        <v>0.69324900083333318</v>
      </c>
      <c r="E64">
        <f>Table1[[#This Row],[Cost]]-Table1[[#This Row],[Tendencia]]</f>
        <v>5.1074689166666798E-2</v>
      </c>
      <c r="F64">
        <f>MONTH(Table1[[#This Row],[fecha]])</f>
        <v>9</v>
      </c>
      <c r="G64" cm="1">
        <f t="array" ref="G64">_xlfn.XLOOKUP(Table1[[#This Row],[Mes]],_xlfn.ANCHORARRAY($J$2),_xlfn.ANCHORARRAY($K$2))</f>
        <v>8.5093256874999718E-2</v>
      </c>
      <c r="H64" s="2">
        <f>Table1[[#This Row],[Cost]]-Table1[[#This Row],[Tendencia]]-Table1[[#This Row],[Estacionalidad]]</f>
        <v>-3.401856770833292E-2</v>
      </c>
    </row>
    <row r="65" spans="1:8" x14ac:dyDescent="0.25">
      <c r="A65" t="s">
        <v>66</v>
      </c>
      <c r="B65" s="1">
        <v>35339</v>
      </c>
      <c r="C65">
        <v>0.80485510999999998</v>
      </c>
      <c r="D65">
        <f t="shared" si="0"/>
        <v>0.68909791249999985</v>
      </c>
      <c r="E65">
        <f>Table1[[#This Row],[Cost]]-Table1[[#This Row],[Tendencia]]</f>
        <v>0.11575719750000013</v>
      </c>
      <c r="F65">
        <f>MONTH(Table1[[#This Row],[fecha]])</f>
        <v>10</v>
      </c>
      <c r="G65" cm="1">
        <f t="array" ref="G65">_xlfn.XLOOKUP(Table1[[#This Row],[Mes]],_xlfn.ANCHORARRAY($J$2),_xlfn.ANCHORARRAY($K$2))</f>
        <v>0.13081461645833237</v>
      </c>
      <c r="H65" s="2">
        <f>Table1[[#This Row],[Cost]]-Table1[[#This Row],[Tendencia]]-Table1[[#This Row],[Estacionalidad]]</f>
        <v>-1.5057418958332236E-2</v>
      </c>
    </row>
    <row r="66" spans="1:8" x14ac:dyDescent="0.25">
      <c r="A66" t="s">
        <v>67</v>
      </c>
      <c r="B66" s="1">
        <v>35370</v>
      </c>
      <c r="C66">
        <v>0.78854234999999995</v>
      </c>
      <c r="D66">
        <f t="shared" si="0"/>
        <v>0.68471533416666652</v>
      </c>
      <c r="E66">
        <f>Table1[[#This Row],[Cost]]-Table1[[#This Row],[Tendencia]]</f>
        <v>0.10382701583333342</v>
      </c>
      <c r="F66">
        <f>MONTH(Table1[[#This Row],[fecha]])</f>
        <v>11</v>
      </c>
      <c r="G66" cm="1">
        <f t="array" ref="G66">_xlfn.XLOOKUP(Table1[[#This Row],[Mes]],_xlfn.ANCHORARRAY($J$2),_xlfn.ANCHORARRAY($K$2))</f>
        <v>0.14559653791666705</v>
      </c>
      <c r="H66" s="2">
        <f>Table1[[#This Row],[Cost]]-Table1[[#This Row],[Tendencia]]-Table1[[#This Row],[Estacionalidad]]</f>
        <v>-4.1769522083333621E-2</v>
      </c>
    </row>
    <row r="67" spans="1:8" x14ac:dyDescent="0.25">
      <c r="A67" t="s">
        <v>68</v>
      </c>
      <c r="B67" s="1">
        <v>35400</v>
      </c>
      <c r="C67">
        <v>0.97108939999999999</v>
      </c>
      <c r="D67">
        <f t="shared" si="0"/>
        <v>0.68424713666666648</v>
      </c>
      <c r="E67">
        <f>Table1[[#This Row],[Cost]]-Table1[[#This Row],[Tendencia]]</f>
        <v>0.28684226333333351</v>
      </c>
      <c r="F67">
        <f>MONTH(Table1[[#This Row],[fecha]])</f>
        <v>12</v>
      </c>
      <c r="G67" cm="1">
        <f t="array" ref="G67">_xlfn.XLOOKUP(Table1[[#This Row],[Mes]],_xlfn.ANCHORARRAY($J$2),_xlfn.ANCHORARRAY($K$2))</f>
        <v>0.23989462490196112</v>
      </c>
      <c r="H67" s="2">
        <f>Table1[[#This Row],[Cost]]-Table1[[#This Row],[Tendencia]]-Table1[[#This Row],[Estacionalidad]]</f>
        <v>4.6947638431372396E-2</v>
      </c>
    </row>
    <row r="68" spans="1:8" x14ac:dyDescent="0.25">
      <c r="A68" t="s">
        <v>69</v>
      </c>
      <c r="B68" s="1">
        <v>35431</v>
      </c>
      <c r="C68">
        <v>0.84683354</v>
      </c>
      <c r="D68">
        <f t="shared" si="0"/>
        <v>0.68105729666666648</v>
      </c>
      <c r="E68">
        <f>Table1[[#This Row],[Cost]]-Table1[[#This Row],[Tendencia]]</f>
        <v>0.16577624333333352</v>
      </c>
      <c r="F68">
        <f>MONTH(Table1[[#This Row],[fecha]])</f>
        <v>1</v>
      </c>
      <c r="G68" cm="1">
        <f t="array" ref="G68">_xlfn.XLOOKUP(Table1[[#This Row],[Mes]],_xlfn.ANCHORARRAY($J$2),_xlfn.ANCHORARRAY($K$2))</f>
        <v>0.2106900778124991</v>
      </c>
      <c r="H68" s="2">
        <f>Table1[[#This Row],[Cost]]-Table1[[#This Row],[Tendencia]]-Table1[[#This Row],[Estacionalidad]]</f>
        <v>-4.4913834479165582E-2</v>
      </c>
    </row>
    <row r="69" spans="1:8" x14ac:dyDescent="0.25">
      <c r="A69" t="s">
        <v>70</v>
      </c>
      <c r="B69" s="1">
        <v>35462</v>
      </c>
      <c r="C69">
        <v>0.46382251999999902</v>
      </c>
      <c r="D69">
        <f t="shared" si="0"/>
        <v>0.67759827166666653</v>
      </c>
      <c r="E69">
        <f>Table1[[#This Row],[Cost]]-Table1[[#This Row],[Tendencia]]</f>
        <v>-0.21377575166666751</v>
      </c>
      <c r="F69">
        <f>MONTH(Table1[[#This Row],[fecha]])</f>
        <v>2</v>
      </c>
      <c r="G69" cm="1">
        <f t="array" ref="G69">_xlfn.XLOOKUP(Table1[[#This Row],[Mes]],_xlfn.ANCHORARRAY($J$2),_xlfn.ANCHORARRAY($K$2))</f>
        <v>-0.2417887891145831</v>
      </c>
      <c r="H69" s="2">
        <f>Table1[[#This Row],[Cost]]-Table1[[#This Row],[Tendencia]]-Table1[[#This Row],[Estacionalidad]]</f>
        <v>2.8013037447915584E-2</v>
      </c>
    </row>
    <row r="70" spans="1:8" x14ac:dyDescent="0.25">
      <c r="A70" t="s">
        <v>71</v>
      </c>
      <c r="B70" s="1">
        <v>35490</v>
      </c>
      <c r="C70">
        <v>0.48527316999999998</v>
      </c>
      <c r="D70">
        <f t="shared" si="0"/>
        <v>0.67915425499999982</v>
      </c>
      <c r="E70">
        <f>Table1[[#This Row],[Cost]]-Table1[[#This Row],[Tendencia]]</f>
        <v>-0.19388108499999984</v>
      </c>
      <c r="F70">
        <f>MONTH(Table1[[#This Row],[fecha]])</f>
        <v>3</v>
      </c>
      <c r="G70" cm="1">
        <f t="array" ref="G70">_xlfn.XLOOKUP(Table1[[#This Row],[Mes]],_xlfn.ANCHORARRAY($J$2),_xlfn.ANCHORARRAY($K$2))</f>
        <v>-0.17488669291666656</v>
      </c>
      <c r="H70" s="2">
        <f>Table1[[#This Row],[Cost]]-Table1[[#This Row],[Tendencia]]-Table1[[#This Row],[Estacionalidad]]</f>
        <v>-1.8994392083333284E-2</v>
      </c>
    </row>
    <row r="71" spans="1:8" x14ac:dyDescent="0.25">
      <c r="A71" t="s">
        <v>72</v>
      </c>
      <c r="B71" s="1">
        <v>35521</v>
      </c>
      <c r="C71">
        <v>0.52805859999999905</v>
      </c>
      <c r="D71">
        <f t="shared" si="0"/>
        <v>0.67872664083333312</v>
      </c>
      <c r="E71">
        <f>Table1[[#This Row],[Cost]]-Table1[[#This Row],[Tendencia]]</f>
        <v>-0.15066804083333407</v>
      </c>
      <c r="F71">
        <f>MONTH(Table1[[#This Row],[fecha]])</f>
        <v>4</v>
      </c>
      <c r="G71" cm="1">
        <f t="array" ref="G71">_xlfn.XLOOKUP(Table1[[#This Row],[Mes]],_xlfn.ANCHORARRAY($J$2),_xlfn.ANCHORARRAY($K$2))</f>
        <v>-0.19169227364583324</v>
      </c>
      <c r="H71" s="2">
        <f>Table1[[#This Row],[Cost]]-Table1[[#This Row],[Tendencia]]-Table1[[#This Row],[Estacionalidad]]</f>
        <v>4.1024232812499173E-2</v>
      </c>
    </row>
    <row r="72" spans="1:8" x14ac:dyDescent="0.25">
      <c r="A72" t="s">
        <v>73</v>
      </c>
      <c r="B72" s="1">
        <v>35551</v>
      </c>
      <c r="C72">
        <v>0.56233646999999998</v>
      </c>
      <c r="D72">
        <f t="shared" ref="D72:D135" si="1">AVERAGE(C67:C78)</f>
        <v>0.67722493833333319</v>
      </c>
      <c r="E72">
        <f>Table1[[#This Row],[Cost]]-Table1[[#This Row],[Tendencia]]</f>
        <v>-0.11488846833333322</v>
      </c>
      <c r="F72">
        <f>MONTH(Table1[[#This Row],[fecha]])</f>
        <v>5</v>
      </c>
      <c r="G72" cm="1">
        <f t="array" ref="G72">_xlfn.XLOOKUP(Table1[[#This Row],[Mes]],_xlfn.ANCHORARRAY($J$2),_xlfn.ANCHORARRAY($K$2))</f>
        <v>-0.13691233416666657</v>
      </c>
      <c r="H72" s="2">
        <f>Table1[[#This Row],[Cost]]-Table1[[#This Row],[Tendencia]]-Table1[[#This Row],[Estacionalidad]]</f>
        <v>2.202386583333335E-2</v>
      </c>
    </row>
    <row r="73" spans="1:8" x14ac:dyDescent="0.25">
      <c r="A73" t="s">
        <v>74</v>
      </c>
      <c r="B73" s="1">
        <v>35582</v>
      </c>
      <c r="C73">
        <v>0.58857040000000005</v>
      </c>
      <c r="D73">
        <f t="shared" si="1"/>
        <v>0.67916659999999984</v>
      </c>
      <c r="E73">
        <f>Table1[[#This Row],[Cost]]-Table1[[#This Row],[Tendencia]]</f>
        <v>-9.0596199999999794E-2</v>
      </c>
      <c r="F73">
        <f>MONTH(Table1[[#This Row],[fecha]])</f>
        <v>6</v>
      </c>
      <c r="G73" cm="1">
        <f t="array" ref="G73">_xlfn.XLOOKUP(Table1[[#This Row],[Mes]],_xlfn.ANCHORARRAY($J$2),_xlfn.ANCHORARRAY($K$2))</f>
        <v>-9.9158206249999631E-2</v>
      </c>
      <c r="H73" s="2">
        <f>Table1[[#This Row],[Cost]]-Table1[[#This Row],[Tendencia]]-Table1[[#This Row],[Estacionalidad]]</f>
        <v>8.5620062499998373E-3</v>
      </c>
    </row>
    <row r="74" spans="1:8" x14ac:dyDescent="0.25">
      <c r="A74" t="s">
        <v>75</v>
      </c>
      <c r="B74" s="1">
        <v>35612</v>
      </c>
      <c r="C74">
        <v>0.66948036</v>
      </c>
      <c r="D74">
        <f t="shared" si="1"/>
        <v>0.67530917416666647</v>
      </c>
      <c r="E74">
        <f>Table1[[#This Row],[Cost]]-Table1[[#This Row],[Tendencia]]</f>
        <v>-5.8288141666664739E-3</v>
      </c>
      <c r="F74">
        <f>MONTH(Table1[[#This Row],[fecha]])</f>
        <v>7</v>
      </c>
      <c r="G74" cm="1">
        <f t="array" ref="G74">_xlfn.XLOOKUP(Table1[[#This Row],[Mes]],_xlfn.ANCHORARRAY($J$2),_xlfn.ANCHORARRAY($K$2))</f>
        <v>-1.1719376458333233E-2</v>
      </c>
      <c r="H74" s="2">
        <f>Table1[[#This Row],[Cost]]-Table1[[#This Row],[Tendencia]]-Table1[[#This Row],[Estacionalidad]]</f>
        <v>5.8905622916667587E-3</v>
      </c>
    </row>
    <row r="75" spans="1:8" x14ac:dyDescent="0.25">
      <c r="A75" t="s">
        <v>76</v>
      </c>
      <c r="B75" s="1">
        <v>35643</v>
      </c>
      <c r="C75">
        <v>0.67799365</v>
      </c>
      <c r="D75">
        <f t="shared" si="1"/>
        <v>0.67753706499999999</v>
      </c>
      <c r="E75">
        <f>Table1[[#This Row],[Cost]]-Table1[[#This Row],[Tendencia]]</f>
        <v>4.5658500000000934E-4</v>
      </c>
      <c r="F75">
        <f>MONTH(Table1[[#This Row],[fecha]])</f>
        <v>8</v>
      </c>
      <c r="G75" cm="1">
        <f t="array" ref="G75">_xlfn.XLOOKUP(Table1[[#This Row],[Mes]],_xlfn.ANCHORARRAY($J$2),_xlfn.ANCHORARRAY($K$2))</f>
        <v>3.9435276458333612E-2</v>
      </c>
      <c r="H75" s="2">
        <f>Table1[[#This Row],[Cost]]-Table1[[#This Row],[Tendencia]]-Table1[[#This Row],[Estacionalidad]]</f>
        <v>-3.8978691458333603E-2</v>
      </c>
    </row>
    <row r="76" spans="1:8" x14ac:dyDescent="0.25">
      <c r="A76" t="s">
        <v>77</v>
      </c>
      <c r="B76" s="1">
        <v>35674</v>
      </c>
      <c r="C76">
        <v>0.76299549</v>
      </c>
      <c r="D76">
        <f t="shared" si="1"/>
        <v>0.68079830000000008</v>
      </c>
      <c r="E76">
        <f>Table1[[#This Row],[Cost]]-Table1[[#This Row],[Tendencia]]</f>
        <v>8.219718999999992E-2</v>
      </c>
      <c r="F76">
        <f>MONTH(Table1[[#This Row],[fecha]])</f>
        <v>9</v>
      </c>
      <c r="G76" cm="1">
        <f t="array" ref="G76">_xlfn.XLOOKUP(Table1[[#This Row],[Mes]],_xlfn.ANCHORARRAY($J$2),_xlfn.ANCHORARRAY($K$2))</f>
        <v>8.5093256874999718E-2</v>
      </c>
      <c r="H76" s="2">
        <f>Table1[[#This Row],[Cost]]-Table1[[#This Row],[Tendencia]]-Table1[[#This Row],[Estacionalidad]]</f>
        <v>-2.8960668749997975E-3</v>
      </c>
    </row>
    <row r="77" spans="1:8" x14ac:dyDescent="0.25">
      <c r="A77" t="s">
        <v>78</v>
      </c>
      <c r="B77" s="1">
        <v>35704</v>
      </c>
      <c r="C77">
        <v>0.79972374000000002</v>
      </c>
      <c r="D77">
        <f t="shared" si="1"/>
        <v>0.68151420666666673</v>
      </c>
      <c r="E77">
        <f>Table1[[#This Row],[Cost]]-Table1[[#This Row],[Tendencia]]</f>
        <v>0.11820953333333328</v>
      </c>
      <c r="F77">
        <f>MONTH(Table1[[#This Row],[fecha]])</f>
        <v>10</v>
      </c>
      <c r="G77" cm="1">
        <f t="array" ref="G77">_xlfn.XLOOKUP(Table1[[#This Row],[Mes]],_xlfn.ANCHORARRAY($J$2),_xlfn.ANCHORARRAY($K$2))</f>
        <v>0.13081461645833237</v>
      </c>
      <c r="H77" s="2">
        <f>Table1[[#This Row],[Cost]]-Table1[[#This Row],[Tendencia]]-Table1[[#This Row],[Estacionalidad]]</f>
        <v>-1.2605083124999084E-2</v>
      </c>
    </row>
    <row r="78" spans="1:8" x14ac:dyDescent="0.25">
      <c r="A78" t="s">
        <v>79</v>
      </c>
      <c r="B78" s="1">
        <v>35735</v>
      </c>
      <c r="C78">
        <v>0.77052191999999997</v>
      </c>
      <c r="D78">
        <f t="shared" si="1"/>
        <v>0.68066037916666688</v>
      </c>
      <c r="E78">
        <f>Table1[[#This Row],[Cost]]-Table1[[#This Row],[Tendencia]]</f>
        <v>8.9861540833333087E-2</v>
      </c>
      <c r="F78">
        <f>MONTH(Table1[[#This Row],[fecha]])</f>
        <v>11</v>
      </c>
      <c r="G78" cm="1">
        <f t="array" ref="G78">_xlfn.XLOOKUP(Table1[[#This Row],[Mes]],_xlfn.ANCHORARRAY($J$2),_xlfn.ANCHORARRAY($K$2))</f>
        <v>0.14559653791666705</v>
      </c>
      <c r="H78" s="2">
        <f>Table1[[#This Row],[Cost]]-Table1[[#This Row],[Tendencia]]-Table1[[#This Row],[Estacionalidad]]</f>
        <v>-5.5734997083333959E-2</v>
      </c>
    </row>
    <row r="79" spans="1:8" x14ac:dyDescent="0.25">
      <c r="A79" t="s">
        <v>80</v>
      </c>
      <c r="B79" s="1">
        <v>35765</v>
      </c>
      <c r="C79">
        <v>0.99438934000000001</v>
      </c>
      <c r="D79">
        <f t="shared" si="1"/>
        <v>0.68189331583333346</v>
      </c>
      <c r="E79">
        <f>Table1[[#This Row],[Cost]]-Table1[[#This Row],[Tendencia]]</f>
        <v>0.31249602416666655</v>
      </c>
      <c r="F79">
        <f>MONTH(Table1[[#This Row],[fecha]])</f>
        <v>12</v>
      </c>
      <c r="G79" cm="1">
        <f t="array" ref="G79">_xlfn.XLOOKUP(Table1[[#This Row],[Mes]],_xlfn.ANCHORARRAY($J$2),_xlfn.ANCHORARRAY($K$2))</f>
        <v>0.23989462490196112</v>
      </c>
      <c r="H79" s="2">
        <f>Table1[[#This Row],[Cost]]-Table1[[#This Row],[Tendencia]]-Table1[[#This Row],[Estacionalidad]]</f>
        <v>7.2601399264705435E-2</v>
      </c>
    </row>
    <row r="80" spans="1:8" x14ac:dyDescent="0.25">
      <c r="A80" t="s">
        <v>81</v>
      </c>
      <c r="B80" s="1">
        <v>35796</v>
      </c>
      <c r="C80">
        <v>0.80054442999999997</v>
      </c>
      <c r="D80">
        <f t="shared" si="1"/>
        <v>0.68287373416666686</v>
      </c>
      <c r="E80">
        <f>Table1[[#This Row],[Cost]]-Table1[[#This Row],[Tendencia]]</f>
        <v>0.11767069583333312</v>
      </c>
      <c r="F80">
        <f>MONTH(Table1[[#This Row],[fecha]])</f>
        <v>1</v>
      </c>
      <c r="G80" cm="1">
        <f t="array" ref="G80">_xlfn.XLOOKUP(Table1[[#This Row],[Mes]],_xlfn.ANCHORARRAY($J$2),_xlfn.ANCHORARRAY($K$2))</f>
        <v>0.2106900778124991</v>
      </c>
      <c r="H80" s="2">
        <f>Table1[[#This Row],[Cost]]-Table1[[#This Row],[Tendencia]]-Table1[[#This Row],[Estacionalidad]]</f>
        <v>-9.3019381979165983E-2</v>
      </c>
    </row>
    <row r="81" spans="1:8" x14ac:dyDescent="0.25">
      <c r="A81" t="s">
        <v>82</v>
      </c>
      <c r="B81" s="1">
        <v>35827</v>
      </c>
      <c r="C81">
        <v>0.49055721000000002</v>
      </c>
      <c r="D81">
        <f t="shared" si="1"/>
        <v>0.68288054250000008</v>
      </c>
      <c r="E81">
        <f>Table1[[#This Row],[Cost]]-Table1[[#This Row],[Tendencia]]</f>
        <v>-0.19232333250000005</v>
      </c>
      <c r="F81">
        <f>MONTH(Table1[[#This Row],[fecha]])</f>
        <v>2</v>
      </c>
      <c r="G81" cm="1">
        <f t="array" ref="G81">_xlfn.XLOOKUP(Table1[[#This Row],[Mes]],_xlfn.ANCHORARRAY($J$2),_xlfn.ANCHORARRAY($K$2))</f>
        <v>-0.2417887891145831</v>
      </c>
      <c r="H81" s="2">
        <f>Table1[[#This Row],[Cost]]-Table1[[#This Row],[Tendencia]]-Table1[[#This Row],[Estacionalidad]]</f>
        <v>4.9465456614583042E-2</v>
      </c>
    </row>
    <row r="82" spans="1:8" x14ac:dyDescent="0.25">
      <c r="A82" t="s">
        <v>83</v>
      </c>
      <c r="B82" s="1">
        <v>35855</v>
      </c>
      <c r="C82">
        <v>0.52440799000000005</v>
      </c>
      <c r="D82">
        <f t="shared" si="1"/>
        <v>0.6855386391666668</v>
      </c>
      <c r="E82">
        <f>Table1[[#This Row],[Cost]]-Table1[[#This Row],[Tendencia]]</f>
        <v>-0.16113064916666675</v>
      </c>
      <c r="F82">
        <f>MONTH(Table1[[#This Row],[fecha]])</f>
        <v>3</v>
      </c>
      <c r="G82" cm="1">
        <f t="array" ref="G82">_xlfn.XLOOKUP(Table1[[#This Row],[Mes]],_xlfn.ANCHORARRAY($J$2),_xlfn.ANCHORARRAY($K$2))</f>
        <v>-0.17488669291666656</v>
      </c>
      <c r="H82" s="2">
        <f>Table1[[#This Row],[Cost]]-Table1[[#This Row],[Tendencia]]-Table1[[#This Row],[Estacionalidad]]</f>
        <v>1.3756043749999808E-2</v>
      </c>
    </row>
    <row r="83" spans="1:8" x14ac:dyDescent="0.25">
      <c r="A83" t="s">
        <v>84</v>
      </c>
      <c r="B83" s="1">
        <v>35886</v>
      </c>
      <c r="C83">
        <v>0.53664948000000001</v>
      </c>
      <c r="D83">
        <f t="shared" si="1"/>
        <v>0.68428031916666665</v>
      </c>
      <c r="E83">
        <f>Table1[[#This Row],[Cost]]-Table1[[#This Row],[Tendencia]]</f>
        <v>-0.14763083916666664</v>
      </c>
      <c r="F83">
        <f>MONTH(Table1[[#This Row],[fecha]])</f>
        <v>4</v>
      </c>
      <c r="G83" cm="1">
        <f t="array" ref="G83">_xlfn.XLOOKUP(Table1[[#This Row],[Mes]],_xlfn.ANCHORARRAY($J$2),_xlfn.ANCHORARRAY($K$2))</f>
        <v>-0.19169227364583324</v>
      </c>
      <c r="H83" s="2">
        <f>Table1[[#This Row],[Cost]]-Table1[[#This Row],[Tendencia]]-Table1[[#This Row],[Estacionalidad]]</f>
        <v>4.4061434479166606E-2</v>
      </c>
    </row>
    <row r="84" spans="1:8" x14ac:dyDescent="0.25">
      <c r="A84" t="s">
        <v>85</v>
      </c>
      <c r="B84" s="1">
        <v>35916</v>
      </c>
      <c r="C84">
        <v>0.55209054000000002</v>
      </c>
      <c r="D84">
        <f t="shared" si="1"/>
        <v>0.68782088416666654</v>
      </c>
      <c r="E84">
        <f>Table1[[#This Row],[Cost]]-Table1[[#This Row],[Tendencia]]</f>
        <v>-0.13573034416666652</v>
      </c>
      <c r="F84">
        <f>MONTH(Table1[[#This Row],[fecha]])</f>
        <v>5</v>
      </c>
      <c r="G84" cm="1">
        <f t="array" ref="G84">_xlfn.XLOOKUP(Table1[[#This Row],[Mes]],_xlfn.ANCHORARRAY($J$2),_xlfn.ANCHORARRAY($K$2))</f>
        <v>-0.13691233416666657</v>
      </c>
      <c r="H84" s="2">
        <f>Table1[[#This Row],[Cost]]-Table1[[#This Row],[Tendencia]]-Table1[[#This Row],[Estacionalidad]]</f>
        <v>1.1819900000000494E-3</v>
      </c>
    </row>
    <row r="85" spans="1:8" x14ac:dyDescent="0.25">
      <c r="A85" t="s">
        <v>86</v>
      </c>
      <c r="B85" s="1">
        <v>35947</v>
      </c>
      <c r="C85">
        <v>0.60336564000000004</v>
      </c>
      <c r="D85">
        <f t="shared" si="1"/>
        <v>0.68643279750000008</v>
      </c>
      <c r="E85">
        <f>Table1[[#This Row],[Cost]]-Table1[[#This Row],[Tendencia]]</f>
        <v>-8.3067157500000044E-2</v>
      </c>
      <c r="F85">
        <f>MONTH(Table1[[#This Row],[fecha]])</f>
        <v>6</v>
      </c>
      <c r="G85" cm="1">
        <f t="array" ref="G85">_xlfn.XLOOKUP(Table1[[#This Row],[Mes]],_xlfn.ANCHORARRAY($J$2),_xlfn.ANCHORARRAY($K$2))</f>
        <v>-9.9158206249999631E-2</v>
      </c>
      <c r="H85" s="2">
        <f>Table1[[#This Row],[Cost]]-Table1[[#This Row],[Tendencia]]-Table1[[#This Row],[Estacionalidad]]</f>
        <v>1.6091048749999587E-2</v>
      </c>
    </row>
    <row r="86" spans="1:8" x14ac:dyDescent="0.25">
      <c r="A86" t="s">
        <v>87</v>
      </c>
      <c r="B86" s="1">
        <v>35977</v>
      </c>
      <c r="C86">
        <v>0.68124538000000001</v>
      </c>
      <c r="D86">
        <f t="shared" si="1"/>
        <v>0.69414421833333328</v>
      </c>
      <c r="E86">
        <f>Table1[[#This Row],[Cost]]-Table1[[#This Row],[Tendencia]]</f>
        <v>-1.2898838333333273E-2</v>
      </c>
      <c r="F86">
        <f>MONTH(Table1[[#This Row],[fecha]])</f>
        <v>7</v>
      </c>
      <c r="G86" cm="1">
        <f t="array" ref="G86">_xlfn.XLOOKUP(Table1[[#This Row],[Mes]],_xlfn.ANCHORARRAY($J$2),_xlfn.ANCHORARRAY($K$2))</f>
        <v>-1.1719376458333233E-2</v>
      </c>
      <c r="H86" s="2">
        <f>Table1[[#This Row],[Cost]]-Table1[[#This Row],[Tendencia]]-Table1[[#This Row],[Estacionalidad]]</f>
        <v>-1.1794618750000409E-3</v>
      </c>
    </row>
    <row r="87" spans="1:8" x14ac:dyDescent="0.25">
      <c r="A87" t="s">
        <v>88</v>
      </c>
      <c r="B87" s="1">
        <v>36008</v>
      </c>
      <c r="C87">
        <v>0.67807534999999997</v>
      </c>
      <c r="D87">
        <f t="shared" si="1"/>
        <v>0.69598911500000005</v>
      </c>
      <c r="E87">
        <f>Table1[[#This Row],[Cost]]-Table1[[#This Row],[Tendencia]]</f>
        <v>-1.7913765000000081E-2</v>
      </c>
      <c r="F87">
        <f>MONTH(Table1[[#This Row],[fecha]])</f>
        <v>8</v>
      </c>
      <c r="G87" cm="1">
        <f t="array" ref="G87">_xlfn.XLOOKUP(Table1[[#This Row],[Mes]],_xlfn.ANCHORARRAY($J$2),_xlfn.ANCHORARRAY($K$2))</f>
        <v>3.9435276458333612E-2</v>
      </c>
      <c r="H87" s="2">
        <f>Table1[[#This Row],[Cost]]-Table1[[#This Row],[Tendencia]]-Table1[[#This Row],[Estacionalidad]]</f>
        <v>-5.7349041458333694E-2</v>
      </c>
    </row>
    <row r="88" spans="1:8" x14ac:dyDescent="0.25">
      <c r="A88" t="s">
        <v>89</v>
      </c>
      <c r="B88" s="1">
        <v>36039</v>
      </c>
      <c r="C88">
        <v>0.79489264999999998</v>
      </c>
      <c r="D88">
        <f t="shared" si="1"/>
        <v>0.70670477333333326</v>
      </c>
      <c r="E88">
        <f>Table1[[#This Row],[Cost]]-Table1[[#This Row],[Tendencia]]</f>
        <v>8.818787666666672E-2</v>
      </c>
      <c r="F88">
        <f>MONTH(Table1[[#This Row],[fecha]])</f>
        <v>9</v>
      </c>
      <c r="G88" cm="1">
        <f t="array" ref="G88">_xlfn.XLOOKUP(Table1[[#This Row],[Mes]],_xlfn.ANCHORARRAY($J$2),_xlfn.ANCHORARRAY($K$2))</f>
        <v>8.5093256874999718E-2</v>
      </c>
      <c r="H88" s="2">
        <f>Table1[[#This Row],[Cost]]-Table1[[#This Row],[Tendencia]]-Table1[[#This Row],[Estacionalidad]]</f>
        <v>3.0946197916670026E-3</v>
      </c>
    </row>
    <row r="89" spans="1:8" x14ac:dyDescent="0.25">
      <c r="A89" t="s">
        <v>90</v>
      </c>
      <c r="B89" s="1">
        <v>36069</v>
      </c>
      <c r="C89">
        <v>0.78462390000000004</v>
      </c>
      <c r="D89">
        <f t="shared" si="1"/>
        <v>0.70981534999999996</v>
      </c>
      <c r="E89">
        <f>Table1[[#This Row],[Cost]]-Table1[[#This Row],[Tendencia]]</f>
        <v>7.4808550000000085E-2</v>
      </c>
      <c r="F89">
        <f>MONTH(Table1[[#This Row],[fecha]])</f>
        <v>10</v>
      </c>
      <c r="G89" cm="1">
        <f t="array" ref="G89">_xlfn.XLOOKUP(Table1[[#This Row],[Mes]],_xlfn.ANCHORARRAY($J$2),_xlfn.ANCHORARRAY($K$2))</f>
        <v>0.13081461645833237</v>
      </c>
      <c r="H89" s="2">
        <f>Table1[[#This Row],[Cost]]-Table1[[#This Row],[Tendencia]]-Table1[[#This Row],[Estacionalidad]]</f>
        <v>-5.6006066458332282E-2</v>
      </c>
    </row>
    <row r="90" spans="1:8" x14ac:dyDescent="0.25">
      <c r="A90" t="s">
        <v>91</v>
      </c>
      <c r="B90" s="1">
        <v>36100</v>
      </c>
      <c r="C90">
        <v>0.81300870000000003</v>
      </c>
      <c r="D90">
        <f t="shared" si="1"/>
        <v>0.71707767333333339</v>
      </c>
      <c r="E90">
        <f>Table1[[#This Row],[Cost]]-Table1[[#This Row],[Tendencia]]</f>
        <v>9.5931026666666641E-2</v>
      </c>
      <c r="F90">
        <f>MONTH(Table1[[#This Row],[fecha]])</f>
        <v>11</v>
      </c>
      <c r="G90" cm="1">
        <f t="array" ref="G90">_xlfn.XLOOKUP(Table1[[#This Row],[Mes]],_xlfn.ANCHORARRAY($J$2),_xlfn.ANCHORARRAY($K$2))</f>
        <v>0.14559653791666705</v>
      </c>
      <c r="H90" s="2">
        <f>Table1[[#This Row],[Cost]]-Table1[[#This Row],[Tendencia]]-Table1[[#This Row],[Estacionalidad]]</f>
        <v>-4.9665511250000405E-2</v>
      </c>
    </row>
    <row r="91" spans="1:8" x14ac:dyDescent="0.25">
      <c r="A91" t="s">
        <v>92</v>
      </c>
      <c r="B91" s="1">
        <v>36130</v>
      </c>
      <c r="C91">
        <v>0.9777323</v>
      </c>
      <c r="D91">
        <f t="shared" si="1"/>
        <v>0.72545319333333336</v>
      </c>
      <c r="E91">
        <f>Table1[[#This Row],[Cost]]-Table1[[#This Row],[Tendencia]]</f>
        <v>0.25227910666666664</v>
      </c>
      <c r="F91">
        <f>MONTH(Table1[[#This Row],[fecha]])</f>
        <v>12</v>
      </c>
      <c r="G91" cm="1">
        <f t="array" ref="G91">_xlfn.XLOOKUP(Table1[[#This Row],[Mes]],_xlfn.ANCHORARRAY($J$2),_xlfn.ANCHORARRAY($K$2))</f>
        <v>0.23989462490196112</v>
      </c>
      <c r="H91" s="2">
        <f>Table1[[#This Row],[Cost]]-Table1[[#This Row],[Tendencia]]-Table1[[#This Row],[Estacionalidad]]</f>
        <v>1.2384481764705524E-2</v>
      </c>
    </row>
    <row r="92" spans="1:8" x14ac:dyDescent="0.25">
      <c r="A92" t="s">
        <v>93</v>
      </c>
      <c r="B92" s="1">
        <v>36161</v>
      </c>
      <c r="C92">
        <v>0.89308147999999998</v>
      </c>
      <c r="D92">
        <f t="shared" si="1"/>
        <v>0.73290343166666672</v>
      </c>
      <c r="E92">
        <f>Table1[[#This Row],[Cost]]-Table1[[#This Row],[Tendencia]]</f>
        <v>0.16017804833333327</v>
      </c>
      <c r="F92">
        <f>MONTH(Table1[[#This Row],[fecha]])</f>
        <v>1</v>
      </c>
      <c r="G92" cm="1">
        <f t="array" ref="G92">_xlfn.XLOOKUP(Table1[[#This Row],[Mes]],_xlfn.ANCHORARRAY($J$2),_xlfn.ANCHORARRAY($K$2))</f>
        <v>0.2106900778124991</v>
      </c>
      <c r="H92" s="2">
        <f>Table1[[#This Row],[Cost]]-Table1[[#This Row],[Tendencia]]-Table1[[#This Row],[Estacionalidad]]</f>
        <v>-5.0512029479165832E-2</v>
      </c>
    </row>
    <row r="93" spans="1:8" x14ac:dyDescent="0.25">
      <c r="A93" t="s">
        <v>94</v>
      </c>
      <c r="B93" s="1">
        <v>36192</v>
      </c>
      <c r="C93">
        <v>0.51269597</v>
      </c>
      <c r="D93">
        <f t="shared" si="1"/>
        <v>0.7469126425</v>
      </c>
      <c r="E93">
        <f>Table1[[#This Row],[Cost]]-Table1[[#This Row],[Tendencia]]</f>
        <v>-0.2342166725</v>
      </c>
      <c r="F93">
        <f>MONTH(Table1[[#This Row],[fecha]])</f>
        <v>2</v>
      </c>
      <c r="G93" cm="1">
        <f t="array" ref="G93">_xlfn.XLOOKUP(Table1[[#This Row],[Mes]],_xlfn.ANCHORARRAY($J$2),_xlfn.ANCHORARRAY($K$2))</f>
        <v>-0.2417887891145831</v>
      </c>
      <c r="H93" s="2">
        <f>Table1[[#This Row],[Cost]]-Table1[[#This Row],[Tendencia]]-Table1[[#This Row],[Estacionalidad]]</f>
        <v>7.5721166145830965E-3</v>
      </c>
    </row>
    <row r="94" spans="1:8" x14ac:dyDescent="0.25">
      <c r="A94" t="s">
        <v>95</v>
      </c>
      <c r="B94" s="1">
        <v>36220</v>
      </c>
      <c r="C94">
        <v>0.65299589000000002</v>
      </c>
      <c r="D94">
        <f t="shared" si="1"/>
        <v>0.75506566250000018</v>
      </c>
      <c r="E94">
        <f>Table1[[#This Row],[Cost]]-Table1[[#This Row],[Tendencia]]</f>
        <v>-0.10206977250000016</v>
      </c>
      <c r="F94">
        <f>MONTH(Table1[[#This Row],[fecha]])</f>
        <v>3</v>
      </c>
      <c r="G94" cm="1">
        <f t="array" ref="G94">_xlfn.XLOOKUP(Table1[[#This Row],[Mes]],_xlfn.ANCHORARRAY($J$2),_xlfn.ANCHORARRAY($K$2))</f>
        <v>-0.17488669291666656</v>
      </c>
      <c r="H94" s="2">
        <f>Table1[[#This Row],[Cost]]-Table1[[#This Row],[Tendencia]]-Table1[[#This Row],[Estacionalidad]]</f>
        <v>7.2816920416666403E-2</v>
      </c>
    </row>
    <row r="95" spans="1:8" x14ac:dyDescent="0.25">
      <c r="A95" t="s">
        <v>96</v>
      </c>
      <c r="B95" s="1">
        <v>36251</v>
      </c>
      <c r="C95">
        <v>0.57397640000000005</v>
      </c>
      <c r="D95">
        <f t="shared" si="1"/>
        <v>0.76450532750000011</v>
      </c>
      <c r="E95">
        <f>Table1[[#This Row],[Cost]]-Table1[[#This Row],[Tendencia]]</f>
        <v>-0.19052892750000006</v>
      </c>
      <c r="F95">
        <f>MONTH(Table1[[#This Row],[fecha]])</f>
        <v>4</v>
      </c>
      <c r="G95" cm="1">
        <f t="array" ref="G95">_xlfn.XLOOKUP(Table1[[#This Row],[Mes]],_xlfn.ANCHORARRAY($J$2),_xlfn.ANCHORARRAY($K$2))</f>
        <v>-0.19169227364583324</v>
      </c>
      <c r="H95" s="2">
        <f>Table1[[#This Row],[Cost]]-Table1[[#This Row],[Tendencia]]-Table1[[#This Row],[Estacionalidad]]</f>
        <v>1.1633461458331884E-3</v>
      </c>
    </row>
    <row r="96" spans="1:8" x14ac:dyDescent="0.25">
      <c r="A96" t="s">
        <v>97</v>
      </c>
      <c r="B96" s="1">
        <v>36281</v>
      </c>
      <c r="C96">
        <v>0.63923841999999997</v>
      </c>
      <c r="D96">
        <f t="shared" si="1"/>
        <v>0.77569465999999998</v>
      </c>
      <c r="E96">
        <f>Table1[[#This Row],[Cost]]-Table1[[#This Row],[Tendencia]]</f>
        <v>-0.13645624000000001</v>
      </c>
      <c r="F96">
        <f>MONTH(Table1[[#This Row],[fecha]])</f>
        <v>5</v>
      </c>
      <c r="G96" cm="1">
        <f t="array" ref="G96">_xlfn.XLOOKUP(Table1[[#This Row],[Mes]],_xlfn.ANCHORARRAY($J$2),_xlfn.ANCHORARRAY($K$2))</f>
        <v>-0.13691233416666657</v>
      </c>
      <c r="H96" s="2">
        <f>Table1[[#This Row],[Cost]]-Table1[[#This Row],[Tendencia]]-Table1[[#This Row],[Estacionalidad]]</f>
        <v>4.5609416666655966E-4</v>
      </c>
    </row>
    <row r="97" spans="1:8" x14ac:dyDescent="0.25">
      <c r="A97" t="s">
        <v>98</v>
      </c>
      <c r="B97" s="1">
        <v>36312</v>
      </c>
      <c r="C97">
        <v>0.70387188000000001</v>
      </c>
      <c r="D97">
        <f t="shared" si="1"/>
        <v>0.78177590750000003</v>
      </c>
      <c r="E97">
        <f>Table1[[#This Row],[Cost]]-Table1[[#This Row],[Tendencia]]</f>
        <v>-7.7904027500000028E-2</v>
      </c>
      <c r="F97">
        <f>MONTH(Table1[[#This Row],[fecha]])</f>
        <v>6</v>
      </c>
      <c r="G97" cm="1">
        <f t="array" ref="G97">_xlfn.XLOOKUP(Table1[[#This Row],[Mes]],_xlfn.ANCHORARRAY($J$2),_xlfn.ANCHORARRAY($K$2))</f>
        <v>-9.9158206249999631E-2</v>
      </c>
      <c r="H97" s="2">
        <f>Table1[[#This Row],[Cost]]-Table1[[#This Row],[Tendencia]]-Table1[[#This Row],[Estacionalidad]]</f>
        <v>2.1254178749999603E-2</v>
      </c>
    </row>
    <row r="98" spans="1:8" x14ac:dyDescent="0.25">
      <c r="A98" t="s">
        <v>99</v>
      </c>
      <c r="B98" s="1">
        <v>36342</v>
      </c>
      <c r="C98">
        <v>0.77064823999999998</v>
      </c>
      <c r="D98">
        <f t="shared" si="1"/>
        <v>0.78815708999999989</v>
      </c>
      <c r="E98">
        <f>Table1[[#This Row],[Cost]]-Table1[[#This Row],[Tendencia]]</f>
        <v>-1.7508849999999909E-2</v>
      </c>
      <c r="F98">
        <f>MONTH(Table1[[#This Row],[fecha]])</f>
        <v>7</v>
      </c>
      <c r="G98" cm="1">
        <f t="array" ref="G98">_xlfn.XLOOKUP(Table1[[#This Row],[Mes]],_xlfn.ANCHORARRAY($J$2),_xlfn.ANCHORARRAY($K$2))</f>
        <v>-1.1719376458333233E-2</v>
      </c>
      <c r="H98" s="2">
        <f>Table1[[#This Row],[Cost]]-Table1[[#This Row],[Tendencia]]-Table1[[#This Row],[Estacionalidad]]</f>
        <v>-5.7894735416666766E-3</v>
      </c>
    </row>
    <row r="99" spans="1:8" x14ac:dyDescent="0.25">
      <c r="A99" t="s">
        <v>100</v>
      </c>
      <c r="B99" s="1">
        <v>36373</v>
      </c>
      <c r="C99">
        <v>0.84618587999999995</v>
      </c>
      <c r="D99">
        <f t="shared" si="1"/>
        <v>0.79320671833333334</v>
      </c>
      <c r="E99">
        <f>Table1[[#This Row],[Cost]]-Table1[[#This Row],[Tendencia]]</f>
        <v>5.2979161666666608E-2</v>
      </c>
      <c r="F99">
        <f>MONTH(Table1[[#This Row],[fecha]])</f>
        <v>8</v>
      </c>
      <c r="G99" cm="1">
        <f t="array" ref="G99">_xlfn.XLOOKUP(Table1[[#This Row],[Mes]],_xlfn.ANCHORARRAY($J$2),_xlfn.ANCHORARRAY($K$2))</f>
        <v>3.9435276458333612E-2</v>
      </c>
      <c r="H99" s="2">
        <f>Table1[[#This Row],[Cost]]-Table1[[#This Row],[Tendencia]]-Table1[[#This Row],[Estacionalidad]]</f>
        <v>1.3543885208332995E-2</v>
      </c>
    </row>
    <row r="100" spans="1:8" x14ac:dyDescent="0.25">
      <c r="A100" t="s">
        <v>101</v>
      </c>
      <c r="B100" s="1">
        <v>36404</v>
      </c>
      <c r="C100">
        <v>0.89272889</v>
      </c>
      <c r="D100">
        <f t="shared" si="1"/>
        <v>0.79033263083333338</v>
      </c>
      <c r="E100">
        <f>Table1[[#This Row],[Cost]]-Table1[[#This Row],[Tendencia]]</f>
        <v>0.10239625916666661</v>
      </c>
      <c r="F100">
        <f>MONTH(Table1[[#This Row],[fecha]])</f>
        <v>9</v>
      </c>
      <c r="G100" cm="1">
        <f t="array" ref="G100">_xlfn.XLOOKUP(Table1[[#This Row],[Mes]],_xlfn.ANCHORARRAY($J$2),_xlfn.ANCHORARRAY($K$2))</f>
        <v>8.5093256874999718E-2</v>
      </c>
      <c r="H100" s="2">
        <f>Table1[[#This Row],[Cost]]-Table1[[#This Row],[Tendencia]]-Table1[[#This Row],[Estacionalidad]]</f>
        <v>1.7303002291666897E-2</v>
      </c>
    </row>
    <row r="101" spans="1:8" x14ac:dyDescent="0.25">
      <c r="A101" t="s">
        <v>102</v>
      </c>
      <c r="B101" s="1">
        <v>36434</v>
      </c>
      <c r="C101">
        <v>0.89789987999999998</v>
      </c>
      <c r="D101">
        <f t="shared" si="1"/>
        <v>0.7940842416666668</v>
      </c>
      <c r="E101">
        <f>Table1[[#This Row],[Cost]]-Table1[[#This Row],[Tendencia]]</f>
        <v>0.10381563833333318</v>
      </c>
      <c r="F101">
        <f>MONTH(Table1[[#This Row],[fecha]])</f>
        <v>10</v>
      </c>
      <c r="G101" cm="1">
        <f t="array" ref="G101">_xlfn.XLOOKUP(Table1[[#This Row],[Mes]],_xlfn.ANCHORARRAY($J$2),_xlfn.ANCHORARRAY($K$2))</f>
        <v>0.13081461645833237</v>
      </c>
      <c r="H101" s="2">
        <f>Table1[[#This Row],[Cost]]-Table1[[#This Row],[Tendencia]]-Table1[[#This Row],[Estacionalidad]]</f>
        <v>-2.6998978124999184E-2</v>
      </c>
    </row>
    <row r="102" spans="1:8" x14ac:dyDescent="0.25">
      <c r="A102" t="s">
        <v>103</v>
      </c>
      <c r="B102" s="1">
        <v>36465</v>
      </c>
      <c r="C102">
        <v>0.94728069000000004</v>
      </c>
      <c r="D102">
        <f t="shared" si="1"/>
        <v>0.79624847499999996</v>
      </c>
      <c r="E102">
        <f>Table1[[#This Row],[Cost]]-Table1[[#This Row],[Tendencia]]</f>
        <v>0.15103221500000008</v>
      </c>
      <c r="F102">
        <f>MONTH(Table1[[#This Row],[fecha]])</f>
        <v>11</v>
      </c>
      <c r="G102" cm="1">
        <f t="array" ref="G102">_xlfn.XLOOKUP(Table1[[#This Row],[Mes]],_xlfn.ANCHORARRAY($J$2),_xlfn.ANCHORARRAY($K$2))</f>
        <v>0.14559653791666705</v>
      </c>
      <c r="H102" s="2">
        <f>Table1[[#This Row],[Cost]]-Table1[[#This Row],[Tendencia]]-Table1[[#This Row],[Estacionalidad]]</f>
        <v>5.4356770833330348E-3</v>
      </c>
    </row>
    <row r="103" spans="1:8" x14ac:dyDescent="0.25">
      <c r="A103" t="s">
        <v>104</v>
      </c>
      <c r="B103" s="1">
        <v>36495</v>
      </c>
      <c r="C103">
        <v>1.05070727</v>
      </c>
      <c r="D103">
        <f t="shared" si="1"/>
        <v>0.79813583083333339</v>
      </c>
      <c r="E103">
        <f>Table1[[#This Row],[Cost]]-Table1[[#This Row],[Tendencia]]</f>
        <v>0.25257143916666658</v>
      </c>
      <c r="F103">
        <f>MONTH(Table1[[#This Row],[fecha]])</f>
        <v>12</v>
      </c>
      <c r="G103" cm="1">
        <f t="array" ref="G103">_xlfn.XLOOKUP(Table1[[#This Row],[Mes]],_xlfn.ANCHORARRAY($J$2),_xlfn.ANCHORARRAY($K$2))</f>
        <v>0.23989462490196112</v>
      </c>
      <c r="H103" s="2">
        <f>Table1[[#This Row],[Cost]]-Table1[[#This Row],[Tendencia]]-Table1[[#This Row],[Estacionalidad]]</f>
        <v>1.267681426470546E-2</v>
      </c>
    </row>
    <row r="104" spans="1:8" x14ac:dyDescent="0.25">
      <c r="A104" t="s">
        <v>105</v>
      </c>
      <c r="B104" s="1">
        <v>36526</v>
      </c>
      <c r="C104">
        <v>0.96965566999999997</v>
      </c>
      <c r="D104">
        <f t="shared" si="1"/>
        <v>0.80523722249999974</v>
      </c>
      <c r="E104">
        <f>Table1[[#This Row],[Cost]]-Table1[[#This Row],[Tendencia]]</f>
        <v>0.16441844750000023</v>
      </c>
      <c r="F104">
        <f>MONTH(Table1[[#This Row],[fecha]])</f>
        <v>1</v>
      </c>
      <c r="G104" cm="1">
        <f t="array" ref="G104">_xlfn.XLOOKUP(Table1[[#This Row],[Mes]],_xlfn.ANCHORARRAY($J$2),_xlfn.ANCHORARRAY($K$2))</f>
        <v>0.2106900778124991</v>
      </c>
      <c r="H104" s="2">
        <f>Table1[[#This Row],[Cost]]-Table1[[#This Row],[Tendencia]]-Table1[[#This Row],[Estacionalidad]]</f>
        <v>-4.6271630312498868E-2</v>
      </c>
    </row>
    <row r="105" spans="1:8" x14ac:dyDescent="0.25">
      <c r="A105" t="s">
        <v>106</v>
      </c>
      <c r="B105" s="1">
        <v>36557</v>
      </c>
      <c r="C105">
        <v>0.57329151</v>
      </c>
      <c r="D105">
        <f t="shared" si="1"/>
        <v>0.80688708999999992</v>
      </c>
      <c r="E105">
        <f>Table1[[#This Row],[Cost]]-Table1[[#This Row],[Tendencia]]</f>
        <v>-0.23359557999999991</v>
      </c>
      <c r="F105">
        <f>MONTH(Table1[[#This Row],[fecha]])</f>
        <v>2</v>
      </c>
      <c r="G105" cm="1">
        <f t="array" ref="G105">_xlfn.XLOOKUP(Table1[[#This Row],[Mes]],_xlfn.ANCHORARRAY($J$2),_xlfn.ANCHORARRAY($K$2))</f>
        <v>-0.2417887891145831</v>
      </c>
      <c r="H105" s="2">
        <f>Table1[[#This Row],[Cost]]-Table1[[#This Row],[Tendencia]]-Table1[[#This Row],[Estacionalidad]]</f>
        <v>8.1932091145831831E-3</v>
      </c>
    </row>
    <row r="106" spans="1:8" x14ac:dyDescent="0.25">
      <c r="A106" t="s">
        <v>107</v>
      </c>
      <c r="B106" s="1">
        <v>36586</v>
      </c>
      <c r="C106">
        <v>0.61850684</v>
      </c>
      <c r="D106">
        <f t="shared" si="1"/>
        <v>0.80126375166666641</v>
      </c>
      <c r="E106">
        <f>Table1[[#This Row],[Cost]]-Table1[[#This Row],[Tendencia]]</f>
        <v>-0.18275691166666641</v>
      </c>
      <c r="F106">
        <f>MONTH(Table1[[#This Row],[fecha]])</f>
        <v>3</v>
      </c>
      <c r="G106" cm="1">
        <f t="array" ref="G106">_xlfn.XLOOKUP(Table1[[#This Row],[Mes]],_xlfn.ANCHORARRAY($J$2),_xlfn.ANCHORARRAY($K$2))</f>
        <v>-0.17488669291666656</v>
      </c>
      <c r="H106" s="2">
        <f>Table1[[#This Row],[Cost]]-Table1[[#This Row],[Tendencia]]-Table1[[#This Row],[Estacionalidad]]</f>
        <v>-7.8702187499998522E-3</v>
      </c>
    </row>
    <row r="107" spans="1:8" x14ac:dyDescent="0.25">
      <c r="A107" t="s">
        <v>108</v>
      </c>
      <c r="B107" s="1">
        <v>36617</v>
      </c>
      <c r="C107">
        <v>0.61899572999999997</v>
      </c>
      <c r="D107">
        <f t="shared" si="1"/>
        <v>0.80605717999999982</v>
      </c>
      <c r="E107">
        <f>Table1[[#This Row],[Cost]]-Table1[[#This Row],[Tendencia]]</f>
        <v>-0.18706144999999985</v>
      </c>
      <c r="F107">
        <f>MONTH(Table1[[#This Row],[fecha]])</f>
        <v>4</v>
      </c>
      <c r="G107" cm="1">
        <f t="array" ref="G107">_xlfn.XLOOKUP(Table1[[#This Row],[Mes]],_xlfn.ANCHORARRAY($J$2),_xlfn.ANCHORARRAY($K$2))</f>
        <v>-0.19169227364583324</v>
      </c>
      <c r="H107" s="2">
        <f>Table1[[#This Row],[Cost]]-Table1[[#This Row],[Tendencia]]-Table1[[#This Row],[Estacionalidad]]</f>
        <v>4.6308236458333929E-3</v>
      </c>
    </row>
    <row r="108" spans="1:8" x14ac:dyDescent="0.25">
      <c r="A108" t="s">
        <v>109</v>
      </c>
      <c r="B108" s="1">
        <v>36647</v>
      </c>
      <c r="C108">
        <v>0.66520921999999905</v>
      </c>
      <c r="D108">
        <f t="shared" si="1"/>
        <v>0.80533345249999977</v>
      </c>
      <c r="E108">
        <f>Table1[[#This Row],[Cost]]-Table1[[#This Row],[Tendencia]]</f>
        <v>-0.14012423250000072</v>
      </c>
      <c r="F108">
        <f>MONTH(Table1[[#This Row],[fecha]])</f>
        <v>5</v>
      </c>
      <c r="G108" cm="1">
        <f t="array" ref="G108">_xlfn.XLOOKUP(Table1[[#This Row],[Mes]],_xlfn.ANCHORARRAY($J$2),_xlfn.ANCHORARRAY($K$2))</f>
        <v>-0.13691233416666657</v>
      </c>
      <c r="H108" s="2">
        <f>Table1[[#This Row],[Cost]]-Table1[[#This Row],[Tendencia]]-Table1[[#This Row],[Estacionalidad]]</f>
        <v>-3.2118983333341566E-3</v>
      </c>
    </row>
    <row r="109" spans="1:8" x14ac:dyDescent="0.25">
      <c r="A109" t="s">
        <v>110</v>
      </c>
      <c r="B109" s="1">
        <v>36678</v>
      </c>
      <c r="C109">
        <v>0.72652015000000003</v>
      </c>
      <c r="D109">
        <f t="shared" si="1"/>
        <v>0.80219321499999996</v>
      </c>
      <c r="E109">
        <f>Table1[[#This Row],[Cost]]-Table1[[#This Row],[Tendencia]]</f>
        <v>-7.5673064999999928E-2</v>
      </c>
      <c r="F109">
        <f>MONTH(Table1[[#This Row],[fecha]])</f>
        <v>6</v>
      </c>
      <c r="G109" cm="1">
        <f t="array" ref="G109">_xlfn.XLOOKUP(Table1[[#This Row],[Mes]],_xlfn.ANCHORARRAY($J$2),_xlfn.ANCHORARRAY($K$2))</f>
        <v>-9.9158206249999631E-2</v>
      </c>
      <c r="H109" s="2">
        <f>Table1[[#This Row],[Cost]]-Table1[[#This Row],[Tendencia]]-Table1[[#This Row],[Estacionalidad]]</f>
        <v>2.3485141249999703E-2</v>
      </c>
    </row>
    <row r="110" spans="1:8" x14ac:dyDescent="0.25">
      <c r="A110" t="s">
        <v>111</v>
      </c>
      <c r="B110" s="1">
        <v>36708</v>
      </c>
      <c r="C110">
        <v>0.85586493999999902</v>
      </c>
      <c r="D110">
        <f t="shared" si="1"/>
        <v>0.80837235499999993</v>
      </c>
      <c r="E110">
        <f>Table1[[#This Row],[Cost]]-Table1[[#This Row],[Tendencia]]</f>
        <v>4.7492584999999088E-2</v>
      </c>
      <c r="F110">
        <f>MONTH(Table1[[#This Row],[fecha]])</f>
        <v>7</v>
      </c>
      <c r="G110" cm="1">
        <f t="array" ref="G110">_xlfn.XLOOKUP(Table1[[#This Row],[Mes]],_xlfn.ANCHORARRAY($J$2),_xlfn.ANCHORARRAY($K$2))</f>
        <v>-1.1719376458333233E-2</v>
      </c>
      <c r="H110" s="2">
        <f>Table1[[#This Row],[Cost]]-Table1[[#This Row],[Tendencia]]-Table1[[#This Row],[Estacionalidad]]</f>
        <v>5.9211961458332324E-2</v>
      </c>
    </row>
    <row r="111" spans="1:8" x14ac:dyDescent="0.25">
      <c r="A111" t="s">
        <v>112</v>
      </c>
      <c r="B111" s="1">
        <v>36739</v>
      </c>
      <c r="C111">
        <v>0.86598428999999999</v>
      </c>
      <c r="D111">
        <f t="shared" si="1"/>
        <v>0.80315199999999987</v>
      </c>
      <c r="E111">
        <f>Table1[[#This Row],[Cost]]-Table1[[#This Row],[Tendencia]]</f>
        <v>6.2832290000000124E-2</v>
      </c>
      <c r="F111">
        <f>MONTH(Table1[[#This Row],[fecha]])</f>
        <v>8</v>
      </c>
      <c r="G111" cm="1">
        <f t="array" ref="G111">_xlfn.XLOOKUP(Table1[[#This Row],[Mes]],_xlfn.ANCHORARRAY($J$2),_xlfn.ANCHORARRAY($K$2))</f>
        <v>3.9435276458333612E-2</v>
      </c>
      <c r="H111" s="2">
        <f>Table1[[#This Row],[Cost]]-Table1[[#This Row],[Tendencia]]-Table1[[#This Row],[Estacionalidad]]</f>
        <v>2.3397013541666511E-2</v>
      </c>
    </row>
    <row r="112" spans="1:8" x14ac:dyDescent="0.25">
      <c r="A112" t="s">
        <v>113</v>
      </c>
      <c r="B112" s="1">
        <v>36770</v>
      </c>
      <c r="C112">
        <v>0.82524883000000004</v>
      </c>
      <c r="D112">
        <f t="shared" si="1"/>
        <v>0.80765718083333304</v>
      </c>
      <c r="E112">
        <f>Table1[[#This Row],[Cost]]-Table1[[#This Row],[Tendencia]]</f>
        <v>1.7591649166667001E-2</v>
      </c>
      <c r="F112">
        <f>MONTH(Table1[[#This Row],[fecha]])</f>
        <v>9</v>
      </c>
      <c r="G112" cm="1">
        <f t="array" ref="G112">_xlfn.XLOOKUP(Table1[[#This Row],[Mes]],_xlfn.ANCHORARRAY($J$2),_xlfn.ANCHORARRAY($K$2))</f>
        <v>8.5093256874999718E-2</v>
      </c>
      <c r="H112" s="2">
        <f>Table1[[#This Row],[Cost]]-Table1[[#This Row],[Tendencia]]-Table1[[#This Row],[Estacionalidad]]</f>
        <v>-6.7501607708332717E-2</v>
      </c>
    </row>
    <row r="113" spans="1:8" x14ac:dyDescent="0.25">
      <c r="A113" t="s">
        <v>114</v>
      </c>
      <c r="B113" s="1">
        <v>36800</v>
      </c>
      <c r="C113">
        <v>0.95542101999999995</v>
      </c>
      <c r="D113">
        <f t="shared" si="1"/>
        <v>0.81011337499999969</v>
      </c>
      <c r="E113">
        <f>Table1[[#This Row],[Cost]]-Table1[[#This Row],[Tendencia]]</f>
        <v>0.14530764500000026</v>
      </c>
      <c r="F113">
        <f>MONTH(Table1[[#This Row],[fecha]])</f>
        <v>10</v>
      </c>
      <c r="G113" cm="1">
        <f t="array" ref="G113">_xlfn.XLOOKUP(Table1[[#This Row],[Mes]],_xlfn.ANCHORARRAY($J$2),_xlfn.ANCHORARRAY($K$2))</f>
        <v>0.13081461645833237</v>
      </c>
      <c r="H113" s="2">
        <f>Table1[[#This Row],[Cost]]-Table1[[#This Row],[Tendencia]]-Table1[[#This Row],[Estacionalidad]]</f>
        <v>1.4493028541667896E-2</v>
      </c>
    </row>
    <row r="114" spans="1:8" x14ac:dyDescent="0.25">
      <c r="A114" t="s">
        <v>115</v>
      </c>
      <c r="B114" s="1">
        <v>36831</v>
      </c>
      <c r="C114">
        <v>0.93859596000000001</v>
      </c>
      <c r="D114">
        <f t="shared" si="1"/>
        <v>0.8133554974999998</v>
      </c>
      <c r="E114">
        <f>Table1[[#This Row],[Cost]]-Table1[[#This Row],[Tendencia]]</f>
        <v>0.1252404625000002</v>
      </c>
      <c r="F114">
        <f>MONTH(Table1[[#This Row],[fecha]])</f>
        <v>11</v>
      </c>
      <c r="G114" cm="1">
        <f t="array" ref="G114">_xlfn.XLOOKUP(Table1[[#This Row],[Mes]],_xlfn.ANCHORARRAY($J$2),_xlfn.ANCHORARRAY($K$2))</f>
        <v>0.14559653791666705</v>
      </c>
      <c r="H114" s="2">
        <f>Table1[[#This Row],[Cost]]-Table1[[#This Row],[Tendencia]]-Table1[[#This Row],[Estacionalidad]]</f>
        <v>-2.0356075416666841E-2</v>
      </c>
    </row>
    <row r="115" spans="1:8" x14ac:dyDescent="0.25">
      <c r="A115" t="s">
        <v>116</v>
      </c>
      <c r="B115" s="1">
        <v>36861</v>
      </c>
      <c r="C115">
        <v>1.01302442</v>
      </c>
      <c r="D115">
        <f t="shared" si="1"/>
        <v>0.81109804749999981</v>
      </c>
      <c r="E115">
        <f>Table1[[#This Row],[Cost]]-Table1[[#This Row],[Tendencia]]</f>
        <v>0.20192637250000023</v>
      </c>
      <c r="F115">
        <f>MONTH(Table1[[#This Row],[fecha]])</f>
        <v>12</v>
      </c>
      <c r="G115" cm="1">
        <f t="array" ref="G115">_xlfn.XLOOKUP(Table1[[#This Row],[Mes]],_xlfn.ANCHORARRAY($J$2),_xlfn.ANCHORARRAY($K$2))</f>
        <v>0.23989462490196112</v>
      </c>
      <c r="H115" s="2">
        <f>Table1[[#This Row],[Cost]]-Table1[[#This Row],[Tendencia]]-Table1[[#This Row],[Estacionalidad]]</f>
        <v>-3.7968252401960889E-2</v>
      </c>
    </row>
    <row r="116" spans="1:8" x14ac:dyDescent="0.25">
      <c r="A116" t="s">
        <v>117</v>
      </c>
      <c r="B116" s="1">
        <v>36892</v>
      </c>
      <c r="C116">
        <v>1.04380535</v>
      </c>
      <c r="D116">
        <f t="shared" si="1"/>
        <v>0.81076979166666663</v>
      </c>
      <c r="E116">
        <f>Table1[[#This Row],[Cost]]-Table1[[#This Row],[Tendencia]]</f>
        <v>0.23303555833333334</v>
      </c>
      <c r="F116">
        <f>MONTH(Table1[[#This Row],[fecha]])</f>
        <v>1</v>
      </c>
      <c r="G116" cm="1">
        <f t="array" ref="G116">_xlfn.XLOOKUP(Table1[[#This Row],[Mes]],_xlfn.ANCHORARRAY($J$2),_xlfn.ANCHORARRAY($K$2))</f>
        <v>0.2106900778124991</v>
      </c>
      <c r="H116" s="2">
        <f>Table1[[#This Row],[Cost]]-Table1[[#This Row],[Tendencia]]-Table1[[#This Row],[Estacionalidad]]</f>
        <v>2.2345480520834238E-2</v>
      </c>
    </row>
    <row r="117" spans="1:8" x14ac:dyDescent="0.25">
      <c r="A117" t="s">
        <v>118</v>
      </c>
      <c r="B117" s="1">
        <v>36923</v>
      </c>
      <c r="C117">
        <v>0.51064725</v>
      </c>
      <c r="D117">
        <f t="shared" si="1"/>
        <v>0.8142465341666667</v>
      </c>
      <c r="E117">
        <f>Table1[[#This Row],[Cost]]-Table1[[#This Row],[Tendencia]]</f>
        <v>-0.30359928416666671</v>
      </c>
      <c r="F117">
        <f>MONTH(Table1[[#This Row],[fecha]])</f>
        <v>2</v>
      </c>
      <c r="G117" cm="1">
        <f t="array" ref="G117">_xlfn.XLOOKUP(Table1[[#This Row],[Mes]],_xlfn.ANCHORARRAY($J$2),_xlfn.ANCHORARRAY($K$2))</f>
        <v>-0.2417887891145831</v>
      </c>
      <c r="H117" s="2">
        <f>Table1[[#This Row],[Cost]]-Table1[[#This Row],[Tendencia]]-Table1[[#This Row],[Estacionalidad]]</f>
        <v>-6.1810495052083608E-2</v>
      </c>
    </row>
    <row r="118" spans="1:8" x14ac:dyDescent="0.25">
      <c r="A118" t="s">
        <v>119</v>
      </c>
      <c r="B118" s="1">
        <v>36951</v>
      </c>
      <c r="C118">
        <v>0.67256900999999902</v>
      </c>
      <c r="D118">
        <f t="shared" si="1"/>
        <v>0.81776283750000012</v>
      </c>
      <c r="E118">
        <f>Table1[[#This Row],[Cost]]-Table1[[#This Row],[Tendencia]]</f>
        <v>-0.14519382750000109</v>
      </c>
      <c r="F118">
        <f>MONTH(Table1[[#This Row],[fecha]])</f>
        <v>3</v>
      </c>
      <c r="G118" cm="1">
        <f t="array" ref="G118">_xlfn.XLOOKUP(Table1[[#This Row],[Mes]],_xlfn.ANCHORARRAY($J$2),_xlfn.ANCHORARRAY($K$2))</f>
        <v>-0.17488669291666656</v>
      </c>
      <c r="H118" s="2">
        <f>Table1[[#This Row],[Cost]]-Table1[[#This Row],[Tendencia]]-Table1[[#This Row],[Estacionalidad]]</f>
        <v>2.9692865416665465E-2</v>
      </c>
    </row>
    <row r="119" spans="1:8" x14ac:dyDescent="0.25">
      <c r="A119" t="s">
        <v>120</v>
      </c>
      <c r="B119" s="1">
        <v>36982</v>
      </c>
      <c r="C119">
        <v>0.64847005999999996</v>
      </c>
      <c r="D119">
        <f t="shared" si="1"/>
        <v>0.82350215333333321</v>
      </c>
      <c r="E119">
        <f>Table1[[#This Row],[Cost]]-Table1[[#This Row],[Tendencia]]</f>
        <v>-0.17503209333333325</v>
      </c>
      <c r="F119">
        <f>MONTH(Table1[[#This Row],[fecha]])</f>
        <v>4</v>
      </c>
      <c r="G119" cm="1">
        <f t="array" ref="G119">_xlfn.XLOOKUP(Table1[[#This Row],[Mes]],_xlfn.ANCHORARRAY($J$2),_xlfn.ANCHORARRAY($K$2))</f>
        <v>-0.19169227364583324</v>
      </c>
      <c r="H119" s="2">
        <f>Table1[[#This Row],[Cost]]-Table1[[#This Row],[Tendencia]]-Table1[[#This Row],[Estacionalidad]]</f>
        <v>1.6660180312499995E-2</v>
      </c>
    </row>
    <row r="120" spans="1:8" x14ac:dyDescent="0.25">
      <c r="A120" t="s">
        <v>121</v>
      </c>
      <c r="B120" s="1">
        <v>37012</v>
      </c>
      <c r="C120">
        <v>0.70411469000000004</v>
      </c>
      <c r="D120">
        <f t="shared" si="1"/>
        <v>0.83775167499999981</v>
      </c>
      <c r="E120">
        <f>Table1[[#This Row],[Cost]]-Table1[[#This Row],[Tendencia]]</f>
        <v>-0.13363698499999976</v>
      </c>
      <c r="F120">
        <f>MONTH(Table1[[#This Row],[fecha]])</f>
        <v>5</v>
      </c>
      <c r="G120" cm="1">
        <f t="array" ref="G120">_xlfn.XLOOKUP(Table1[[#This Row],[Mes]],_xlfn.ANCHORARRAY($J$2),_xlfn.ANCHORARRAY($K$2))</f>
        <v>-0.13691233416666657</v>
      </c>
      <c r="H120" s="2">
        <f>Table1[[#This Row],[Cost]]-Table1[[#This Row],[Tendencia]]-Table1[[#This Row],[Estacionalidad]]</f>
        <v>3.2753491666668022E-3</v>
      </c>
    </row>
    <row r="121" spans="1:8" x14ac:dyDescent="0.25">
      <c r="A121" t="s">
        <v>122</v>
      </c>
      <c r="B121" s="1">
        <v>37043</v>
      </c>
      <c r="C121">
        <v>0.69943074999999999</v>
      </c>
      <c r="D121">
        <f t="shared" si="1"/>
        <v>0.83769240916666643</v>
      </c>
      <c r="E121">
        <f>Table1[[#This Row],[Cost]]-Table1[[#This Row],[Tendencia]]</f>
        <v>-0.13826165916666644</v>
      </c>
      <c r="F121">
        <f>MONTH(Table1[[#This Row],[fecha]])</f>
        <v>6</v>
      </c>
      <c r="G121" cm="1">
        <f t="array" ref="G121">_xlfn.XLOOKUP(Table1[[#This Row],[Mes]],_xlfn.ANCHORARRAY($J$2),_xlfn.ANCHORARRAY($K$2))</f>
        <v>-9.9158206249999631E-2</v>
      </c>
      <c r="H121" s="2">
        <f>Table1[[#This Row],[Cost]]-Table1[[#This Row],[Tendencia]]-Table1[[#This Row],[Estacionalidad]]</f>
        <v>-3.9103452916666809E-2</v>
      </c>
    </row>
    <row r="122" spans="1:8" x14ac:dyDescent="0.25">
      <c r="A122" t="s">
        <v>123</v>
      </c>
      <c r="B122" s="1">
        <v>37073</v>
      </c>
      <c r="C122">
        <v>0.85192586999999997</v>
      </c>
      <c r="D122">
        <f t="shared" si="1"/>
        <v>0.84619759749999979</v>
      </c>
      <c r="E122">
        <f>Table1[[#This Row],[Cost]]-Table1[[#This Row],[Tendencia]]</f>
        <v>5.7282725000001866E-3</v>
      </c>
      <c r="F122">
        <f>MONTH(Table1[[#This Row],[fecha]])</f>
        <v>7</v>
      </c>
      <c r="G122" cm="1">
        <f t="array" ref="G122">_xlfn.XLOOKUP(Table1[[#This Row],[Mes]],_xlfn.ANCHORARRAY($J$2),_xlfn.ANCHORARRAY($K$2))</f>
        <v>-1.1719376458333233E-2</v>
      </c>
      <c r="H122" s="2">
        <f>Table1[[#This Row],[Cost]]-Table1[[#This Row],[Tendencia]]-Table1[[#This Row],[Estacionalidad]]</f>
        <v>1.7447648958333419E-2</v>
      </c>
    </row>
    <row r="123" spans="1:8" x14ac:dyDescent="0.25">
      <c r="A123" t="s">
        <v>124</v>
      </c>
      <c r="B123" s="1">
        <v>37104</v>
      </c>
      <c r="C123">
        <v>0.90770519999999999</v>
      </c>
      <c r="D123">
        <f t="shared" si="1"/>
        <v>0.8516090249999998</v>
      </c>
      <c r="E123">
        <f>Table1[[#This Row],[Cost]]-Table1[[#This Row],[Tendencia]]</f>
        <v>5.6096175000000192E-2</v>
      </c>
      <c r="F123">
        <f>MONTH(Table1[[#This Row],[fecha]])</f>
        <v>8</v>
      </c>
      <c r="G123" cm="1">
        <f t="array" ref="G123">_xlfn.XLOOKUP(Table1[[#This Row],[Mes]],_xlfn.ANCHORARRAY($J$2),_xlfn.ANCHORARRAY($K$2))</f>
        <v>3.9435276458333612E-2</v>
      </c>
      <c r="H123" s="2">
        <f>Table1[[#This Row],[Cost]]-Table1[[#This Row],[Tendencia]]-Table1[[#This Row],[Estacionalidad]]</f>
        <v>1.666089854166658E-2</v>
      </c>
    </row>
    <row r="124" spans="1:8" x14ac:dyDescent="0.25">
      <c r="A124" t="s">
        <v>125</v>
      </c>
      <c r="B124" s="1">
        <v>37135</v>
      </c>
      <c r="C124">
        <v>0.86744447000000002</v>
      </c>
      <c r="D124">
        <f t="shared" si="1"/>
        <v>0.84899199000000014</v>
      </c>
      <c r="E124">
        <f>Table1[[#This Row],[Cost]]-Table1[[#This Row],[Tendencia]]</f>
        <v>1.8452479999999882E-2</v>
      </c>
      <c r="F124">
        <f>MONTH(Table1[[#This Row],[fecha]])</f>
        <v>9</v>
      </c>
      <c r="G124" cm="1">
        <f t="array" ref="G124">_xlfn.XLOOKUP(Table1[[#This Row],[Mes]],_xlfn.ANCHORARRAY($J$2),_xlfn.ANCHORARRAY($K$2))</f>
        <v>8.5093256874999718E-2</v>
      </c>
      <c r="H124" s="2">
        <f>Table1[[#This Row],[Cost]]-Table1[[#This Row],[Tendencia]]-Table1[[#This Row],[Estacionalidad]]</f>
        <v>-6.6640776874999835E-2</v>
      </c>
    </row>
    <row r="125" spans="1:8" x14ac:dyDescent="0.25">
      <c r="A125" t="s">
        <v>126</v>
      </c>
      <c r="B125" s="1">
        <v>37165</v>
      </c>
      <c r="C125">
        <v>1.0242928099999999</v>
      </c>
      <c r="D125">
        <f t="shared" si="1"/>
        <v>0.85160799083333361</v>
      </c>
      <c r="E125">
        <f>Table1[[#This Row],[Cost]]-Table1[[#This Row],[Tendencia]]</f>
        <v>0.17268481916666634</v>
      </c>
      <c r="F125">
        <f>MONTH(Table1[[#This Row],[fecha]])</f>
        <v>10</v>
      </c>
      <c r="G125" cm="1">
        <f t="array" ref="G125">_xlfn.XLOOKUP(Table1[[#This Row],[Mes]],_xlfn.ANCHORARRAY($J$2),_xlfn.ANCHORARRAY($K$2))</f>
        <v>0.13081461645833237</v>
      </c>
      <c r="H125" s="2">
        <f>Table1[[#This Row],[Cost]]-Table1[[#This Row],[Tendencia]]-Table1[[#This Row],[Estacionalidad]]</f>
        <v>4.187020270833397E-2</v>
      </c>
    </row>
    <row r="126" spans="1:8" x14ac:dyDescent="0.25">
      <c r="A126" t="s">
        <v>127</v>
      </c>
      <c r="B126" s="1">
        <v>37196</v>
      </c>
      <c r="C126">
        <v>1.1095902200000001</v>
      </c>
      <c r="D126">
        <f t="shared" si="1"/>
        <v>0.8569266333333333</v>
      </c>
      <c r="E126">
        <f>Table1[[#This Row],[Cost]]-Table1[[#This Row],[Tendencia]]</f>
        <v>0.25266358666666677</v>
      </c>
      <c r="F126">
        <f>MONTH(Table1[[#This Row],[fecha]])</f>
        <v>11</v>
      </c>
      <c r="G126" cm="1">
        <f t="array" ref="G126">_xlfn.XLOOKUP(Table1[[#This Row],[Mes]],_xlfn.ANCHORARRAY($J$2),_xlfn.ANCHORARRAY($K$2))</f>
        <v>0.14559653791666705</v>
      </c>
      <c r="H126" s="2">
        <f>Table1[[#This Row],[Cost]]-Table1[[#This Row],[Tendencia]]-Table1[[#This Row],[Estacionalidad]]</f>
        <v>0.10706704874999973</v>
      </c>
    </row>
    <row r="127" spans="1:8" x14ac:dyDescent="0.25">
      <c r="A127" t="s">
        <v>128</v>
      </c>
      <c r="B127" s="1">
        <v>37226</v>
      </c>
      <c r="C127">
        <v>1.01231323</v>
      </c>
      <c r="D127">
        <f t="shared" si="1"/>
        <v>0.86131539666666657</v>
      </c>
      <c r="E127">
        <f>Table1[[#This Row],[Cost]]-Table1[[#This Row],[Tendencia]]</f>
        <v>0.15099783333333339</v>
      </c>
      <c r="F127">
        <f>MONTH(Table1[[#This Row],[fecha]])</f>
        <v>12</v>
      </c>
      <c r="G127" cm="1">
        <f t="array" ref="G127">_xlfn.XLOOKUP(Table1[[#This Row],[Mes]],_xlfn.ANCHORARRAY($J$2),_xlfn.ANCHORARRAY($K$2))</f>
        <v>0.23989462490196112</v>
      </c>
      <c r="H127" s="2">
        <f>Table1[[#This Row],[Cost]]-Table1[[#This Row],[Tendencia]]-Table1[[#This Row],[Estacionalidad]]</f>
        <v>-8.8896791568627731E-2</v>
      </c>
    </row>
    <row r="128" spans="1:8" x14ac:dyDescent="0.25">
      <c r="A128" t="s">
        <v>129</v>
      </c>
      <c r="B128" s="1">
        <v>37257</v>
      </c>
      <c r="C128">
        <v>1.14586761</v>
      </c>
      <c r="D128">
        <f t="shared" si="1"/>
        <v>0.86682687333333297</v>
      </c>
      <c r="E128">
        <f>Table1[[#This Row],[Cost]]-Table1[[#This Row],[Tendencia]]</f>
        <v>0.27904073666666707</v>
      </c>
      <c r="F128">
        <f>MONTH(Table1[[#This Row],[fecha]])</f>
        <v>1</v>
      </c>
      <c r="G128" cm="1">
        <f t="array" ref="G128">_xlfn.XLOOKUP(Table1[[#This Row],[Mes]],_xlfn.ANCHORARRAY($J$2),_xlfn.ANCHORARRAY($K$2))</f>
        <v>0.2106900778124991</v>
      </c>
      <c r="H128" s="2">
        <f>Table1[[#This Row],[Cost]]-Table1[[#This Row],[Tendencia]]-Table1[[#This Row],[Estacionalidad]]</f>
        <v>6.8350658854167967E-2</v>
      </c>
    </row>
    <row r="129" spans="1:8" x14ac:dyDescent="0.25">
      <c r="A129" t="s">
        <v>130</v>
      </c>
      <c r="B129" s="1">
        <v>37288</v>
      </c>
      <c r="C129">
        <v>0.57558438000000001</v>
      </c>
      <c r="D129">
        <f t="shared" si="1"/>
        <v>0.86821540083333326</v>
      </c>
      <c r="E129">
        <f>Table1[[#This Row],[Cost]]-Table1[[#This Row],[Tendencia]]</f>
        <v>-0.29263102083333326</v>
      </c>
      <c r="F129">
        <f>MONTH(Table1[[#This Row],[fecha]])</f>
        <v>2</v>
      </c>
      <c r="G129" cm="1">
        <f t="array" ref="G129">_xlfn.XLOOKUP(Table1[[#This Row],[Mes]],_xlfn.ANCHORARRAY($J$2),_xlfn.ANCHORARRAY($K$2))</f>
        <v>-0.2417887891145831</v>
      </c>
      <c r="H129" s="2">
        <f>Table1[[#This Row],[Cost]]-Table1[[#This Row],[Tendencia]]-Table1[[#This Row],[Estacionalidad]]</f>
        <v>-5.0842231718750158E-2</v>
      </c>
    </row>
    <row r="130" spans="1:8" x14ac:dyDescent="0.25">
      <c r="A130" t="s">
        <v>131</v>
      </c>
      <c r="B130" s="1">
        <v>37316</v>
      </c>
      <c r="C130">
        <v>0.64116459000000003</v>
      </c>
      <c r="D130">
        <f t="shared" si="1"/>
        <v>0.88036150083333231</v>
      </c>
      <c r="E130">
        <f>Table1[[#This Row],[Cost]]-Table1[[#This Row],[Tendencia]]</f>
        <v>-0.23919691083333228</v>
      </c>
      <c r="F130">
        <f>MONTH(Table1[[#This Row],[fecha]])</f>
        <v>3</v>
      </c>
      <c r="G130" cm="1">
        <f t="array" ref="G130">_xlfn.XLOOKUP(Table1[[#This Row],[Mes]],_xlfn.ANCHORARRAY($J$2),_xlfn.ANCHORARRAY($K$2))</f>
        <v>-0.17488669291666656</v>
      </c>
      <c r="H130" s="2">
        <f>Table1[[#This Row],[Cost]]-Table1[[#This Row],[Tendencia]]-Table1[[#This Row],[Estacionalidad]]</f>
        <v>-6.4310217916665718E-2</v>
      </c>
    </row>
    <row r="131" spans="1:8" x14ac:dyDescent="0.25">
      <c r="A131" t="s">
        <v>132</v>
      </c>
      <c r="B131" s="1">
        <v>37347</v>
      </c>
      <c r="C131">
        <v>0.67986206999999999</v>
      </c>
      <c r="D131">
        <f t="shared" si="1"/>
        <v>0.88058510749999908</v>
      </c>
      <c r="E131">
        <f>Table1[[#This Row],[Cost]]-Table1[[#This Row],[Tendencia]]</f>
        <v>-0.20072303749999909</v>
      </c>
      <c r="F131">
        <f>MONTH(Table1[[#This Row],[fecha]])</f>
        <v>4</v>
      </c>
      <c r="G131" cm="1">
        <f t="array" ref="G131">_xlfn.XLOOKUP(Table1[[#This Row],[Mes]],_xlfn.ANCHORARRAY($J$2),_xlfn.ANCHORARRAY($K$2))</f>
        <v>-0.19169227364583324</v>
      </c>
      <c r="H131" s="2">
        <f>Table1[[#This Row],[Cost]]-Table1[[#This Row],[Tendencia]]-Table1[[#This Row],[Estacionalidad]]</f>
        <v>-9.0307638541658464E-3</v>
      </c>
    </row>
    <row r="132" spans="1:8" x14ac:dyDescent="0.25">
      <c r="A132" t="s">
        <v>133</v>
      </c>
      <c r="B132" s="1">
        <v>37377</v>
      </c>
      <c r="C132">
        <v>0.76793839999999902</v>
      </c>
      <c r="D132">
        <f t="shared" si="1"/>
        <v>0.87201891999999903</v>
      </c>
      <c r="E132">
        <f>Table1[[#This Row],[Cost]]-Table1[[#This Row],[Tendencia]]</f>
        <v>-0.10408052000000001</v>
      </c>
      <c r="F132">
        <f>MONTH(Table1[[#This Row],[fecha]])</f>
        <v>5</v>
      </c>
      <c r="G132" cm="1">
        <f t="array" ref="G132">_xlfn.XLOOKUP(Table1[[#This Row],[Mes]],_xlfn.ANCHORARRAY($J$2),_xlfn.ANCHORARRAY($K$2))</f>
        <v>-0.13691233416666657</v>
      </c>
      <c r="H132" s="2">
        <f>Table1[[#This Row],[Cost]]-Table1[[#This Row],[Tendencia]]-Table1[[#This Row],[Estacionalidad]]</f>
        <v>3.2831814166666556E-2</v>
      </c>
    </row>
    <row r="133" spans="1:8" x14ac:dyDescent="0.25">
      <c r="A133" t="s">
        <v>134</v>
      </c>
      <c r="B133" s="1">
        <v>37408</v>
      </c>
      <c r="C133">
        <v>0.75209590999999998</v>
      </c>
      <c r="D133">
        <f t="shared" si="1"/>
        <v>0.87955745749999903</v>
      </c>
      <c r="E133">
        <f>Table1[[#This Row],[Cost]]-Table1[[#This Row],[Tendencia]]</f>
        <v>-0.12746154749999905</v>
      </c>
      <c r="F133">
        <f>MONTH(Table1[[#This Row],[fecha]])</f>
        <v>6</v>
      </c>
      <c r="G133" cm="1">
        <f t="array" ref="G133">_xlfn.XLOOKUP(Table1[[#This Row],[Mes]],_xlfn.ANCHORARRAY($J$2),_xlfn.ANCHORARRAY($K$2))</f>
        <v>-9.9158206249999631E-2</v>
      </c>
      <c r="H133" s="2">
        <f>Table1[[#This Row],[Cost]]-Table1[[#This Row],[Tendencia]]-Table1[[#This Row],[Estacionalidad]]</f>
        <v>-2.830334124999942E-2</v>
      </c>
    </row>
    <row r="134" spans="1:8" x14ac:dyDescent="0.25">
      <c r="A134" t="s">
        <v>135</v>
      </c>
      <c r="B134" s="1">
        <v>37438</v>
      </c>
      <c r="C134">
        <v>0.91806358999999904</v>
      </c>
      <c r="D134">
        <f t="shared" si="1"/>
        <v>0.87391389583333157</v>
      </c>
      <c r="E134">
        <f>Table1[[#This Row],[Cost]]-Table1[[#This Row],[Tendencia]]</f>
        <v>4.4149694166667475E-2</v>
      </c>
      <c r="F134">
        <f>MONTH(Table1[[#This Row],[fecha]])</f>
        <v>7</v>
      </c>
      <c r="G134" cm="1">
        <f t="array" ref="G134">_xlfn.XLOOKUP(Table1[[#This Row],[Mes]],_xlfn.ANCHORARRAY($J$2),_xlfn.ANCHORARRAY($K$2))</f>
        <v>-1.1719376458333233E-2</v>
      </c>
      <c r="H134" s="2">
        <f>Table1[[#This Row],[Cost]]-Table1[[#This Row],[Tendencia]]-Table1[[#This Row],[Estacionalidad]]</f>
        <v>5.5869070625000711E-2</v>
      </c>
    </row>
    <row r="135" spans="1:8" x14ac:dyDescent="0.25">
      <c r="A135" t="s">
        <v>136</v>
      </c>
      <c r="B135" s="1">
        <v>37469</v>
      </c>
      <c r="C135">
        <v>0.92436753000000005</v>
      </c>
      <c r="D135">
        <f t="shared" si="1"/>
        <v>0.87413987999999809</v>
      </c>
      <c r="E135">
        <f>Table1[[#This Row],[Cost]]-Table1[[#This Row],[Tendencia]]</f>
        <v>5.0227650000001955E-2</v>
      </c>
      <c r="F135">
        <f>MONTH(Table1[[#This Row],[fecha]])</f>
        <v>8</v>
      </c>
      <c r="G135" cm="1">
        <f t="array" ref="G135">_xlfn.XLOOKUP(Table1[[#This Row],[Mes]],_xlfn.ANCHORARRAY($J$2),_xlfn.ANCHORARRAY($K$2))</f>
        <v>3.9435276458333612E-2</v>
      </c>
      <c r="H135" s="2">
        <f>Table1[[#This Row],[Cost]]-Table1[[#This Row],[Tendencia]]-Table1[[#This Row],[Estacionalidad]]</f>
        <v>1.0792373541668343E-2</v>
      </c>
    </row>
    <row r="136" spans="1:8" x14ac:dyDescent="0.25">
      <c r="A136" t="s">
        <v>137</v>
      </c>
      <c r="B136" s="1">
        <v>37500</v>
      </c>
      <c r="C136">
        <v>1.0131976699999901</v>
      </c>
      <c r="D136">
        <f t="shared" ref="D136:D199" si="2">AVERAGE(C131:C142)</f>
        <v>0.87432060749999818</v>
      </c>
      <c r="E136">
        <f>Table1[[#This Row],[Cost]]-Table1[[#This Row],[Tendencia]]</f>
        <v>0.13887706249999188</v>
      </c>
      <c r="F136">
        <f>MONTH(Table1[[#This Row],[fecha]])</f>
        <v>9</v>
      </c>
      <c r="G136" cm="1">
        <f t="array" ref="G136">_xlfn.XLOOKUP(Table1[[#This Row],[Mes]],_xlfn.ANCHORARRAY($J$2),_xlfn.ANCHORARRAY($K$2))</f>
        <v>8.5093256874999718E-2</v>
      </c>
      <c r="H136" s="2">
        <f>Table1[[#This Row],[Cost]]-Table1[[#This Row],[Tendencia]]-Table1[[#This Row],[Estacionalidad]]</f>
        <v>5.3783805624992159E-2</v>
      </c>
    </row>
    <row r="137" spans="1:8" x14ac:dyDescent="0.25">
      <c r="A137" t="s">
        <v>138</v>
      </c>
      <c r="B137" s="1">
        <v>37530</v>
      </c>
      <c r="C137">
        <v>1.02697609</v>
      </c>
      <c r="D137">
        <f t="shared" si="2"/>
        <v>0.87294604749999805</v>
      </c>
      <c r="E137">
        <f>Table1[[#This Row],[Cost]]-Table1[[#This Row],[Tendencia]]</f>
        <v>0.15403004250000196</v>
      </c>
      <c r="F137">
        <f>MONTH(Table1[[#This Row],[fecha]])</f>
        <v>10</v>
      </c>
      <c r="G137" cm="1">
        <f t="array" ref="G137">_xlfn.XLOOKUP(Table1[[#This Row],[Mes]],_xlfn.ANCHORARRAY($J$2),_xlfn.ANCHORARRAY($K$2))</f>
        <v>0.13081461645833237</v>
      </c>
      <c r="H137" s="2">
        <f>Table1[[#This Row],[Cost]]-Table1[[#This Row],[Tendencia]]-Table1[[#This Row],[Estacionalidad]]</f>
        <v>2.3215426041669596E-2</v>
      </c>
    </row>
    <row r="138" spans="1:8" x14ac:dyDescent="0.25">
      <c r="A138" t="s">
        <v>139</v>
      </c>
      <c r="B138" s="1">
        <v>37561</v>
      </c>
      <c r="C138">
        <v>1.00679597</v>
      </c>
      <c r="D138">
        <f t="shared" si="2"/>
        <v>0.87149418083333152</v>
      </c>
      <c r="E138">
        <f>Table1[[#This Row],[Cost]]-Table1[[#This Row],[Tendencia]]</f>
        <v>0.13530178916666846</v>
      </c>
      <c r="F138">
        <f>MONTH(Table1[[#This Row],[fecha]])</f>
        <v>11</v>
      </c>
      <c r="G138" cm="1">
        <f t="array" ref="G138">_xlfn.XLOOKUP(Table1[[#This Row],[Mes]],_xlfn.ANCHORARRAY($J$2),_xlfn.ANCHORARRAY($K$2))</f>
        <v>0.14559653791666705</v>
      </c>
      <c r="H138" s="2">
        <f>Table1[[#This Row],[Cost]]-Table1[[#This Row],[Tendencia]]-Table1[[#This Row],[Estacionalidad]]</f>
        <v>-1.0294748749998583E-2</v>
      </c>
    </row>
    <row r="139" spans="1:8" x14ac:dyDescent="0.25">
      <c r="A139" t="s">
        <v>140</v>
      </c>
      <c r="B139" s="1">
        <v>37591</v>
      </c>
      <c r="C139">
        <v>1.1027756799999999</v>
      </c>
      <c r="D139">
        <f t="shared" si="2"/>
        <v>0.87554832499999824</v>
      </c>
      <c r="E139">
        <f>Table1[[#This Row],[Cost]]-Table1[[#This Row],[Tendencia]]</f>
        <v>0.22722735500000169</v>
      </c>
      <c r="F139">
        <f>MONTH(Table1[[#This Row],[fecha]])</f>
        <v>12</v>
      </c>
      <c r="G139" cm="1">
        <f t="array" ref="G139">_xlfn.XLOOKUP(Table1[[#This Row],[Mes]],_xlfn.ANCHORARRAY($J$2),_xlfn.ANCHORARRAY($K$2))</f>
        <v>0.23989462490196112</v>
      </c>
      <c r="H139" s="2">
        <f>Table1[[#This Row],[Cost]]-Table1[[#This Row],[Tendencia]]-Table1[[#This Row],[Estacionalidad]]</f>
        <v>-1.2667269901959433E-2</v>
      </c>
    </row>
    <row r="140" spans="1:8" x14ac:dyDescent="0.25">
      <c r="A140" t="s">
        <v>141</v>
      </c>
      <c r="B140" s="1">
        <v>37622</v>
      </c>
      <c r="C140">
        <v>1.07814486999999</v>
      </c>
      <c r="D140">
        <f t="shared" si="2"/>
        <v>0.8754064449999982</v>
      </c>
      <c r="E140">
        <f>Table1[[#This Row],[Cost]]-Table1[[#This Row],[Tendencia]]</f>
        <v>0.20273842499999184</v>
      </c>
      <c r="F140">
        <f>MONTH(Table1[[#This Row],[fecha]])</f>
        <v>1</v>
      </c>
      <c r="G140" cm="1">
        <f t="array" ref="G140">_xlfn.XLOOKUP(Table1[[#This Row],[Mes]],_xlfn.ANCHORARRAY($J$2),_xlfn.ANCHORARRAY($K$2))</f>
        <v>0.2106900778124991</v>
      </c>
      <c r="H140" s="2">
        <f>Table1[[#This Row],[Cost]]-Table1[[#This Row],[Tendencia]]-Table1[[#This Row],[Estacionalidad]]</f>
        <v>-7.9516528125072594E-3</v>
      </c>
    </row>
    <row r="141" spans="1:8" x14ac:dyDescent="0.25">
      <c r="A141" t="s">
        <v>142</v>
      </c>
      <c r="B141" s="1">
        <v>37653</v>
      </c>
      <c r="C141">
        <v>0.57829618999999999</v>
      </c>
      <c r="D141">
        <f t="shared" si="2"/>
        <v>0.87478305249999844</v>
      </c>
      <c r="E141">
        <f>Table1[[#This Row],[Cost]]-Table1[[#This Row],[Tendencia]]</f>
        <v>-0.29648686249999845</v>
      </c>
      <c r="F141">
        <f>MONTH(Table1[[#This Row],[fecha]])</f>
        <v>2</v>
      </c>
      <c r="G141" cm="1">
        <f t="array" ref="G141">_xlfn.XLOOKUP(Table1[[#This Row],[Mes]],_xlfn.ANCHORARRAY($J$2),_xlfn.ANCHORARRAY($K$2))</f>
        <v>-0.2417887891145831</v>
      </c>
      <c r="H141" s="2">
        <f>Table1[[#This Row],[Cost]]-Table1[[#This Row],[Tendencia]]-Table1[[#This Row],[Estacionalidad]]</f>
        <v>-5.4698073385415352E-2</v>
      </c>
    </row>
    <row r="142" spans="1:8" x14ac:dyDescent="0.25">
      <c r="A142" t="s">
        <v>143</v>
      </c>
      <c r="B142" s="1">
        <v>37681</v>
      </c>
      <c r="C142">
        <v>0.64333331999999999</v>
      </c>
      <c r="D142">
        <f t="shared" si="2"/>
        <v>0.88073815749999917</v>
      </c>
      <c r="E142">
        <f>Table1[[#This Row],[Cost]]-Table1[[#This Row],[Tendencia]]</f>
        <v>-0.23740483749999919</v>
      </c>
      <c r="F142">
        <f>MONTH(Table1[[#This Row],[fecha]])</f>
        <v>3</v>
      </c>
      <c r="G142" cm="1">
        <f t="array" ref="G142">_xlfn.XLOOKUP(Table1[[#This Row],[Mes]],_xlfn.ANCHORARRAY($J$2),_xlfn.ANCHORARRAY($K$2))</f>
        <v>-0.17488669291666656</v>
      </c>
      <c r="H142" s="2">
        <f>Table1[[#This Row],[Cost]]-Table1[[#This Row],[Tendencia]]-Table1[[#This Row],[Estacionalidad]]</f>
        <v>-6.251814458333263E-2</v>
      </c>
    </row>
    <row r="143" spans="1:8" x14ac:dyDescent="0.25">
      <c r="A143" t="s">
        <v>144</v>
      </c>
      <c r="B143" s="1">
        <v>37712</v>
      </c>
      <c r="C143">
        <v>0.66336735000000002</v>
      </c>
      <c r="D143">
        <f t="shared" si="2"/>
        <v>0.89104416833333155</v>
      </c>
      <c r="E143">
        <f>Table1[[#This Row],[Cost]]-Table1[[#This Row],[Tendencia]]</f>
        <v>-0.22767681833333153</v>
      </c>
      <c r="F143">
        <f>MONTH(Table1[[#This Row],[fecha]])</f>
        <v>4</v>
      </c>
      <c r="G143" cm="1">
        <f t="array" ref="G143">_xlfn.XLOOKUP(Table1[[#This Row],[Mes]],_xlfn.ANCHORARRAY($J$2),_xlfn.ANCHORARRAY($K$2))</f>
        <v>-0.19169227364583324</v>
      </c>
      <c r="H143" s="2">
        <f>Table1[[#This Row],[Cost]]-Table1[[#This Row],[Tendencia]]-Table1[[#This Row],[Estacionalidad]]</f>
        <v>-3.5984544687498288E-2</v>
      </c>
    </row>
    <row r="144" spans="1:8" x14ac:dyDescent="0.25">
      <c r="A144" t="s">
        <v>145</v>
      </c>
      <c r="B144" s="1">
        <v>37742</v>
      </c>
      <c r="C144">
        <v>0.75051599999999996</v>
      </c>
      <c r="D144">
        <f t="shared" si="2"/>
        <v>0.89471435499999841</v>
      </c>
      <c r="E144">
        <f>Table1[[#This Row],[Cost]]-Table1[[#This Row],[Tendencia]]</f>
        <v>-0.14419835499999845</v>
      </c>
      <c r="F144">
        <f>MONTH(Table1[[#This Row],[fecha]])</f>
        <v>5</v>
      </c>
      <c r="G144" cm="1">
        <f t="array" ref="G144">_xlfn.XLOOKUP(Table1[[#This Row],[Mes]],_xlfn.ANCHORARRAY($J$2),_xlfn.ANCHORARRAY($K$2))</f>
        <v>-0.13691233416666657</v>
      </c>
      <c r="H144" s="2">
        <f>Table1[[#This Row],[Cost]]-Table1[[#This Row],[Tendencia]]-Table1[[#This Row],[Estacionalidad]]</f>
        <v>-7.2860208333318799E-3</v>
      </c>
    </row>
    <row r="145" spans="1:8" x14ac:dyDescent="0.25">
      <c r="A145" t="s">
        <v>146</v>
      </c>
      <c r="B145" s="1">
        <v>37773</v>
      </c>
      <c r="C145">
        <v>0.80074564000000004</v>
      </c>
      <c r="D145">
        <f t="shared" si="2"/>
        <v>0.90475259333333158</v>
      </c>
      <c r="E145">
        <f>Table1[[#This Row],[Cost]]-Table1[[#This Row],[Tendencia]]</f>
        <v>-0.10400695333333154</v>
      </c>
      <c r="F145">
        <f>MONTH(Table1[[#This Row],[fecha]])</f>
        <v>6</v>
      </c>
      <c r="G145" cm="1">
        <f t="array" ref="G145">_xlfn.XLOOKUP(Table1[[#This Row],[Mes]],_xlfn.ANCHORARRAY($J$2),_xlfn.ANCHORARRAY($K$2))</f>
        <v>-9.9158206249999631E-2</v>
      </c>
      <c r="H145" s="2">
        <f>Table1[[#This Row],[Cost]]-Table1[[#This Row],[Tendencia]]-Table1[[#This Row],[Estacionalidad]]</f>
        <v>-4.8487470833319113E-3</v>
      </c>
    </row>
    <row r="146" spans="1:8" x14ac:dyDescent="0.25">
      <c r="A146" t="s">
        <v>147</v>
      </c>
      <c r="B146" s="1">
        <v>37803</v>
      </c>
      <c r="C146">
        <v>0.91636103000000002</v>
      </c>
      <c r="D146">
        <f t="shared" si="2"/>
        <v>0.90908428833333177</v>
      </c>
      <c r="E146">
        <f>Table1[[#This Row],[Cost]]-Table1[[#This Row],[Tendencia]]</f>
        <v>7.2767416666682516E-3</v>
      </c>
      <c r="F146">
        <f>MONTH(Table1[[#This Row],[fecha]])</f>
        <v>7</v>
      </c>
      <c r="G146" cm="1">
        <f t="array" ref="G146">_xlfn.XLOOKUP(Table1[[#This Row],[Mes]],_xlfn.ANCHORARRAY($J$2),_xlfn.ANCHORARRAY($K$2))</f>
        <v>-1.1719376458333233E-2</v>
      </c>
      <c r="H146" s="2">
        <f>Table1[[#This Row],[Cost]]-Table1[[#This Row],[Tendencia]]-Table1[[#This Row],[Estacionalidad]]</f>
        <v>1.8996118125001484E-2</v>
      </c>
    </row>
    <row r="147" spans="1:8" x14ac:dyDescent="0.25">
      <c r="A147" t="s">
        <v>148</v>
      </c>
      <c r="B147" s="1">
        <v>37834</v>
      </c>
      <c r="C147">
        <v>0.91688681999999999</v>
      </c>
      <c r="D147">
        <f t="shared" si="2"/>
        <v>0.91655866166666489</v>
      </c>
      <c r="E147">
        <f>Table1[[#This Row],[Cost]]-Table1[[#This Row],[Tendencia]]</f>
        <v>3.2815833333510458E-4</v>
      </c>
      <c r="F147">
        <f>MONTH(Table1[[#This Row],[fecha]])</f>
        <v>8</v>
      </c>
      <c r="G147" cm="1">
        <f t="array" ref="G147">_xlfn.XLOOKUP(Table1[[#This Row],[Mes]],_xlfn.ANCHORARRAY($J$2),_xlfn.ANCHORARRAY($K$2))</f>
        <v>3.9435276458333612E-2</v>
      </c>
      <c r="H147" s="2">
        <f>Table1[[#This Row],[Cost]]-Table1[[#This Row],[Tendencia]]-Table1[[#This Row],[Estacionalidad]]</f>
        <v>-3.9107118124998508E-2</v>
      </c>
    </row>
    <row r="148" spans="1:8" x14ac:dyDescent="0.25">
      <c r="A148" t="s">
        <v>149</v>
      </c>
      <c r="B148" s="1">
        <v>37865</v>
      </c>
      <c r="C148">
        <v>1.08465893</v>
      </c>
      <c r="D148">
        <f t="shared" si="2"/>
        <v>0.92536540833333147</v>
      </c>
      <c r="E148">
        <f>Table1[[#This Row],[Cost]]-Table1[[#This Row],[Tendencia]]</f>
        <v>0.15929352166666855</v>
      </c>
      <c r="F148">
        <f>MONTH(Table1[[#This Row],[fecha]])</f>
        <v>9</v>
      </c>
      <c r="G148" cm="1">
        <f t="array" ref="G148">_xlfn.XLOOKUP(Table1[[#This Row],[Mes]],_xlfn.ANCHORARRAY($J$2),_xlfn.ANCHORARRAY($K$2))</f>
        <v>8.5093256874999718E-2</v>
      </c>
      <c r="H148" s="2">
        <f>Table1[[#This Row],[Cost]]-Table1[[#This Row],[Tendencia]]-Table1[[#This Row],[Estacionalidad]]</f>
        <v>7.420026479166883E-2</v>
      </c>
    </row>
    <row r="149" spans="1:8" x14ac:dyDescent="0.25">
      <c r="A149" t="s">
        <v>150</v>
      </c>
      <c r="B149" s="1">
        <v>37895</v>
      </c>
      <c r="C149">
        <v>1.1506482199999899</v>
      </c>
      <c r="D149">
        <f t="shared" si="2"/>
        <v>0.93175029749999816</v>
      </c>
      <c r="E149">
        <f>Table1[[#This Row],[Cost]]-Table1[[#This Row],[Tendencia]]</f>
        <v>0.21889792249999174</v>
      </c>
      <c r="F149">
        <f>MONTH(Table1[[#This Row],[fecha]])</f>
        <v>10</v>
      </c>
      <c r="G149" cm="1">
        <f t="array" ref="G149">_xlfn.XLOOKUP(Table1[[#This Row],[Mes]],_xlfn.ANCHORARRAY($J$2),_xlfn.ANCHORARRAY($K$2))</f>
        <v>0.13081461645833237</v>
      </c>
      <c r="H149" s="2">
        <f>Table1[[#This Row],[Cost]]-Table1[[#This Row],[Tendencia]]-Table1[[#This Row],[Estacionalidad]]</f>
        <v>8.808330604165937E-2</v>
      </c>
    </row>
    <row r="150" spans="1:8" x14ac:dyDescent="0.25">
      <c r="A150" t="s">
        <v>151</v>
      </c>
      <c r="B150" s="1">
        <v>37926</v>
      </c>
      <c r="C150">
        <v>1.05083821</v>
      </c>
      <c r="D150">
        <f t="shared" si="2"/>
        <v>0.93546801666666501</v>
      </c>
      <c r="E150">
        <f>Table1[[#This Row],[Cost]]-Table1[[#This Row],[Tendencia]]</f>
        <v>0.11537019333333498</v>
      </c>
      <c r="F150">
        <f>MONTH(Table1[[#This Row],[fecha]])</f>
        <v>11</v>
      </c>
      <c r="G150" cm="1">
        <f t="array" ref="G150">_xlfn.XLOOKUP(Table1[[#This Row],[Mes]],_xlfn.ANCHORARRAY($J$2),_xlfn.ANCHORARRAY($K$2))</f>
        <v>0.14559653791666705</v>
      </c>
      <c r="H150" s="2">
        <f>Table1[[#This Row],[Cost]]-Table1[[#This Row],[Tendencia]]-Table1[[#This Row],[Estacionalidad]]</f>
        <v>-3.0226344583332065E-2</v>
      </c>
    </row>
    <row r="151" spans="1:8" x14ac:dyDescent="0.25">
      <c r="A151" t="s">
        <v>152</v>
      </c>
      <c r="B151" s="1">
        <v>37956</v>
      </c>
      <c r="C151">
        <v>1.22323454</v>
      </c>
      <c r="D151">
        <f t="shared" si="2"/>
        <v>0.94013944833333174</v>
      </c>
      <c r="E151">
        <f>Table1[[#This Row],[Cost]]-Table1[[#This Row],[Tendencia]]</f>
        <v>0.28309509166666824</v>
      </c>
      <c r="F151">
        <f>MONTH(Table1[[#This Row],[fecha]])</f>
        <v>12</v>
      </c>
      <c r="G151" cm="1">
        <f t="array" ref="G151">_xlfn.XLOOKUP(Table1[[#This Row],[Mes]],_xlfn.ANCHORARRAY($J$2),_xlfn.ANCHORARRAY($K$2))</f>
        <v>0.23989462490196112</v>
      </c>
      <c r="H151" s="2">
        <f>Table1[[#This Row],[Cost]]-Table1[[#This Row],[Tendencia]]-Table1[[#This Row],[Estacionalidad]]</f>
        <v>4.3200466764707124E-2</v>
      </c>
    </row>
    <row r="152" spans="1:8" x14ac:dyDescent="0.25">
      <c r="A152" t="s">
        <v>153</v>
      </c>
      <c r="B152" s="1">
        <v>37987</v>
      </c>
      <c r="C152">
        <v>1.1301252099999901</v>
      </c>
      <c r="D152">
        <f t="shared" si="2"/>
        <v>0.94724212666666496</v>
      </c>
      <c r="E152">
        <f>Table1[[#This Row],[Cost]]-Table1[[#This Row],[Tendencia]]</f>
        <v>0.18288308333332515</v>
      </c>
      <c r="F152">
        <f>MONTH(Table1[[#This Row],[fecha]])</f>
        <v>1</v>
      </c>
      <c r="G152" cm="1">
        <f t="array" ref="G152">_xlfn.XLOOKUP(Table1[[#This Row],[Mes]],_xlfn.ANCHORARRAY($J$2),_xlfn.ANCHORARRAY($K$2))</f>
        <v>0.2106900778124991</v>
      </c>
      <c r="H152" s="2">
        <f>Table1[[#This Row],[Cost]]-Table1[[#This Row],[Tendencia]]-Table1[[#This Row],[Estacionalidad]]</f>
        <v>-2.7806994479173952E-2</v>
      </c>
    </row>
    <row r="153" spans="1:8" x14ac:dyDescent="0.25">
      <c r="A153" t="s">
        <v>154</v>
      </c>
      <c r="B153" s="1">
        <v>38018</v>
      </c>
      <c r="C153">
        <v>0.66798866999999995</v>
      </c>
      <c r="D153">
        <f t="shared" si="2"/>
        <v>0.95374025249999839</v>
      </c>
      <c r="E153">
        <f>Table1[[#This Row],[Cost]]-Table1[[#This Row],[Tendencia]]</f>
        <v>-0.28575158249999844</v>
      </c>
      <c r="F153">
        <f>MONTH(Table1[[#This Row],[fecha]])</f>
        <v>2</v>
      </c>
      <c r="G153" cm="1">
        <f t="array" ref="G153">_xlfn.XLOOKUP(Table1[[#This Row],[Mes]],_xlfn.ANCHORARRAY($J$2),_xlfn.ANCHORARRAY($K$2))</f>
        <v>-0.2417887891145831</v>
      </c>
      <c r="H153" s="2">
        <f>Table1[[#This Row],[Cost]]-Table1[[#This Row],[Tendencia]]-Table1[[#This Row],[Estacionalidad]]</f>
        <v>-4.3962793385415339E-2</v>
      </c>
    </row>
    <row r="154" spans="1:8" x14ac:dyDescent="0.25">
      <c r="A154" t="s">
        <v>155</v>
      </c>
      <c r="B154" s="1">
        <v>38047</v>
      </c>
      <c r="C154">
        <v>0.74901427999999903</v>
      </c>
      <c r="D154">
        <f t="shared" si="2"/>
        <v>0.95788800833333154</v>
      </c>
      <c r="E154">
        <f>Table1[[#This Row],[Cost]]-Table1[[#This Row],[Tendencia]]</f>
        <v>-0.20887372833333251</v>
      </c>
      <c r="F154">
        <f>MONTH(Table1[[#This Row],[fecha]])</f>
        <v>3</v>
      </c>
      <c r="G154" cm="1">
        <f t="array" ref="G154">_xlfn.XLOOKUP(Table1[[#This Row],[Mes]],_xlfn.ANCHORARRAY($J$2),_xlfn.ANCHORARRAY($K$2))</f>
        <v>-0.17488669291666656</v>
      </c>
      <c r="H154" s="2">
        <f>Table1[[#This Row],[Cost]]-Table1[[#This Row],[Tendencia]]-Table1[[#This Row],[Estacionalidad]]</f>
        <v>-3.3987035416665951E-2</v>
      </c>
    </row>
    <row r="155" spans="1:8" x14ac:dyDescent="0.25">
      <c r="A155" t="s">
        <v>156</v>
      </c>
      <c r="B155" s="1">
        <v>38078</v>
      </c>
      <c r="C155">
        <v>0.73998602000000002</v>
      </c>
      <c r="D155">
        <f t="shared" si="2"/>
        <v>0.96041823999999909</v>
      </c>
      <c r="E155">
        <f>Table1[[#This Row],[Cost]]-Table1[[#This Row],[Tendencia]]</f>
        <v>-0.22043221999999907</v>
      </c>
      <c r="F155">
        <f>MONTH(Table1[[#This Row],[fecha]])</f>
        <v>4</v>
      </c>
      <c r="G155" cm="1">
        <f t="array" ref="G155">_xlfn.XLOOKUP(Table1[[#This Row],[Mes]],_xlfn.ANCHORARRAY($J$2),_xlfn.ANCHORARRAY($K$2))</f>
        <v>-0.19169227364583324</v>
      </c>
      <c r="H155" s="2">
        <f>Table1[[#This Row],[Cost]]-Table1[[#This Row],[Tendencia]]-Table1[[#This Row],[Estacionalidad]]</f>
        <v>-2.8739946354165824E-2</v>
      </c>
    </row>
    <row r="156" spans="1:8" x14ac:dyDescent="0.25">
      <c r="A156" t="s">
        <v>157</v>
      </c>
      <c r="B156" s="1">
        <v>38108</v>
      </c>
      <c r="C156">
        <v>0.79512863</v>
      </c>
      <c r="D156">
        <f t="shared" si="2"/>
        <v>0.97418480583333233</v>
      </c>
      <c r="E156">
        <f>Table1[[#This Row],[Cost]]-Table1[[#This Row],[Tendencia]]</f>
        <v>-0.17905617583333233</v>
      </c>
      <c r="F156">
        <f>MONTH(Table1[[#This Row],[fecha]])</f>
        <v>5</v>
      </c>
      <c r="G156" cm="1">
        <f t="array" ref="G156">_xlfn.XLOOKUP(Table1[[#This Row],[Mes]],_xlfn.ANCHORARRAY($J$2),_xlfn.ANCHORARRAY($K$2))</f>
        <v>-0.13691233416666657</v>
      </c>
      <c r="H156" s="2">
        <f>Table1[[#This Row],[Cost]]-Table1[[#This Row],[Tendencia]]-Table1[[#This Row],[Estacionalidad]]</f>
        <v>-4.2143841666665766E-2</v>
      </c>
    </row>
    <row r="157" spans="1:8" x14ac:dyDescent="0.25">
      <c r="A157" t="s">
        <v>158</v>
      </c>
      <c r="B157" s="1">
        <v>38139</v>
      </c>
      <c r="C157">
        <v>0.85680281999999997</v>
      </c>
      <c r="D157">
        <f t="shared" si="2"/>
        <v>0.97701842749999912</v>
      </c>
      <c r="E157">
        <f>Table1[[#This Row],[Cost]]-Table1[[#This Row],[Tendencia]]</f>
        <v>-0.12021560749999916</v>
      </c>
      <c r="F157">
        <f>MONTH(Table1[[#This Row],[fecha]])</f>
        <v>6</v>
      </c>
      <c r="G157" cm="1">
        <f t="array" ref="G157">_xlfn.XLOOKUP(Table1[[#This Row],[Mes]],_xlfn.ANCHORARRAY($J$2),_xlfn.ANCHORARRAY($K$2))</f>
        <v>-9.9158206249999631E-2</v>
      </c>
      <c r="H157" s="2">
        <f>Table1[[#This Row],[Cost]]-Table1[[#This Row],[Tendencia]]-Table1[[#This Row],[Estacionalidad]]</f>
        <v>-2.1057401249999524E-2</v>
      </c>
    </row>
    <row r="158" spans="1:8" x14ac:dyDescent="0.25">
      <c r="A158" t="s">
        <v>159</v>
      </c>
      <c r="B158" s="1">
        <v>38169</v>
      </c>
      <c r="C158">
        <v>1.00159317</v>
      </c>
      <c r="D158">
        <f t="shared" si="2"/>
        <v>0.98039882666666678</v>
      </c>
      <c r="E158">
        <f>Table1[[#This Row],[Cost]]-Table1[[#This Row],[Tendencia]]</f>
        <v>2.1194343333333254E-2</v>
      </c>
      <c r="F158">
        <f>MONTH(Table1[[#This Row],[fecha]])</f>
        <v>7</v>
      </c>
      <c r="G158" cm="1">
        <f t="array" ref="G158">_xlfn.XLOOKUP(Table1[[#This Row],[Mes]],_xlfn.ANCHORARRAY($J$2),_xlfn.ANCHORARRAY($K$2))</f>
        <v>-1.1719376458333233E-2</v>
      </c>
      <c r="H158" s="2">
        <f>Table1[[#This Row],[Cost]]-Table1[[#This Row],[Tendencia]]-Table1[[#This Row],[Estacionalidad]]</f>
        <v>3.291371979166649E-2</v>
      </c>
    </row>
    <row r="159" spans="1:8" x14ac:dyDescent="0.25">
      <c r="A159" t="s">
        <v>160</v>
      </c>
      <c r="B159" s="1">
        <v>38200</v>
      </c>
      <c r="C159">
        <v>0.99486432999999996</v>
      </c>
      <c r="D159">
        <f t="shared" si="2"/>
        <v>0.97453635416666662</v>
      </c>
      <c r="E159">
        <f>Table1[[#This Row],[Cost]]-Table1[[#This Row],[Tendencia]]</f>
        <v>2.0327975833333345E-2</v>
      </c>
      <c r="F159">
        <f>MONTH(Table1[[#This Row],[fecha]])</f>
        <v>8</v>
      </c>
      <c r="G159" cm="1">
        <f t="array" ref="G159">_xlfn.XLOOKUP(Table1[[#This Row],[Mes]],_xlfn.ANCHORARRAY($J$2),_xlfn.ANCHORARRAY($K$2))</f>
        <v>3.9435276458333612E-2</v>
      </c>
      <c r="H159" s="2">
        <f>Table1[[#This Row],[Cost]]-Table1[[#This Row],[Tendencia]]-Table1[[#This Row],[Estacionalidad]]</f>
        <v>-1.9107300625000267E-2</v>
      </c>
    </row>
    <row r="160" spans="1:8" x14ac:dyDescent="0.25">
      <c r="A160" t="s">
        <v>161</v>
      </c>
      <c r="B160" s="1">
        <v>38231</v>
      </c>
      <c r="C160">
        <v>1.1344320000000001</v>
      </c>
      <c r="D160">
        <f t="shared" si="2"/>
        <v>0.96650099750000018</v>
      </c>
      <c r="E160">
        <f>Table1[[#This Row],[Cost]]-Table1[[#This Row],[Tendencia]]</f>
        <v>0.16793100249999993</v>
      </c>
      <c r="F160">
        <f>MONTH(Table1[[#This Row],[fecha]])</f>
        <v>9</v>
      </c>
      <c r="G160" cm="1">
        <f t="array" ref="G160">_xlfn.XLOOKUP(Table1[[#This Row],[Mes]],_xlfn.ANCHORARRAY($J$2),_xlfn.ANCHORARRAY($K$2))</f>
        <v>8.5093256874999718E-2</v>
      </c>
      <c r="H160" s="2">
        <f>Table1[[#This Row],[Cost]]-Table1[[#This Row],[Tendencia]]-Table1[[#This Row],[Estacionalidad]]</f>
        <v>8.2837745625000209E-2</v>
      </c>
    </row>
    <row r="161" spans="1:8" x14ac:dyDescent="0.25">
      <c r="A161" t="s">
        <v>162</v>
      </c>
      <c r="B161" s="1">
        <v>38261</v>
      </c>
      <c r="C161">
        <v>1.181011</v>
      </c>
      <c r="D161">
        <f t="shared" si="2"/>
        <v>0.96071091250000018</v>
      </c>
      <c r="E161">
        <f>Table1[[#This Row],[Cost]]-Table1[[#This Row],[Tendencia]]</f>
        <v>0.22030008749999985</v>
      </c>
      <c r="F161">
        <f>MONTH(Table1[[#This Row],[fecha]])</f>
        <v>10</v>
      </c>
      <c r="G161" cm="1">
        <f t="array" ref="G161">_xlfn.XLOOKUP(Table1[[#This Row],[Mes]],_xlfn.ANCHORARRAY($J$2),_xlfn.ANCHORARRAY($K$2))</f>
        <v>0.13081461645833237</v>
      </c>
      <c r="H161" s="2">
        <f>Table1[[#This Row],[Cost]]-Table1[[#This Row],[Tendencia]]-Table1[[#This Row],[Estacionalidad]]</f>
        <v>8.9485471041667486E-2</v>
      </c>
    </row>
    <row r="162" spans="1:8" x14ac:dyDescent="0.25">
      <c r="A162" t="s">
        <v>163</v>
      </c>
      <c r="B162" s="1">
        <v>38292</v>
      </c>
      <c r="C162">
        <v>1.216037</v>
      </c>
      <c r="D162">
        <f t="shared" si="2"/>
        <v>0.95238752666666671</v>
      </c>
      <c r="E162">
        <f>Table1[[#This Row],[Cost]]-Table1[[#This Row],[Tendencia]]</f>
        <v>0.26364947333333333</v>
      </c>
      <c r="F162">
        <f>MONTH(Table1[[#This Row],[fecha]])</f>
        <v>11</v>
      </c>
      <c r="G162" cm="1">
        <f t="array" ref="G162">_xlfn.XLOOKUP(Table1[[#This Row],[Mes]],_xlfn.ANCHORARRAY($J$2),_xlfn.ANCHORARRAY($K$2))</f>
        <v>0.14559653791666705</v>
      </c>
      <c r="H162" s="2">
        <f>Table1[[#This Row],[Cost]]-Table1[[#This Row],[Tendencia]]-Table1[[#This Row],[Estacionalidad]]</f>
        <v>0.11805293541666628</v>
      </c>
    </row>
    <row r="163" spans="1:8" x14ac:dyDescent="0.25">
      <c r="A163" t="s">
        <v>164</v>
      </c>
      <c r="B163" s="1">
        <v>38322</v>
      </c>
      <c r="C163">
        <v>1.2572380000000001</v>
      </c>
      <c r="D163">
        <f t="shared" si="2"/>
        <v>0.951175875</v>
      </c>
      <c r="E163">
        <f>Table1[[#This Row],[Cost]]-Table1[[#This Row],[Tendencia]]</f>
        <v>0.30606212500000007</v>
      </c>
      <c r="F163">
        <f>MONTH(Table1[[#This Row],[fecha]])</f>
        <v>12</v>
      </c>
      <c r="G163" cm="1">
        <f t="array" ref="G163">_xlfn.XLOOKUP(Table1[[#This Row],[Mes]],_xlfn.ANCHORARRAY($J$2),_xlfn.ANCHORARRAY($K$2))</f>
        <v>0.23989462490196112</v>
      </c>
      <c r="H163" s="2">
        <f>Table1[[#This Row],[Cost]]-Table1[[#This Row],[Tendencia]]-Table1[[#This Row],[Estacionalidad]]</f>
        <v>6.6167500098038956E-2</v>
      </c>
    </row>
    <row r="164" spans="1:8" x14ac:dyDescent="0.25">
      <c r="A164" t="s">
        <v>165</v>
      </c>
      <c r="B164" s="1">
        <v>38353</v>
      </c>
      <c r="C164">
        <v>1.17069</v>
      </c>
      <c r="D164">
        <f t="shared" si="2"/>
        <v>0.94057111083333333</v>
      </c>
      <c r="E164">
        <f>Table1[[#This Row],[Cost]]-Table1[[#This Row],[Tendencia]]</f>
        <v>0.23011888916666667</v>
      </c>
      <c r="F164">
        <f>MONTH(Table1[[#This Row],[fecha]])</f>
        <v>1</v>
      </c>
      <c r="G164" cm="1">
        <f t="array" ref="G164">_xlfn.XLOOKUP(Table1[[#This Row],[Mes]],_xlfn.ANCHORARRAY($J$2),_xlfn.ANCHORARRAY($K$2))</f>
        <v>0.2106900778124991</v>
      </c>
      <c r="H164" s="2">
        <f>Table1[[#This Row],[Cost]]-Table1[[#This Row],[Tendencia]]-Table1[[#This Row],[Estacionalidad]]</f>
        <v>1.9428811354167574E-2</v>
      </c>
    </row>
    <row r="165" spans="1:8" x14ac:dyDescent="0.25">
      <c r="A165" t="s">
        <v>166</v>
      </c>
      <c r="B165" s="1">
        <v>38384</v>
      </c>
      <c r="C165">
        <v>0.59763900000000003</v>
      </c>
      <c r="D165">
        <f t="shared" si="2"/>
        <v>0.9415405</v>
      </c>
      <c r="E165">
        <f>Table1[[#This Row],[Cost]]-Table1[[#This Row],[Tendencia]]</f>
        <v>-0.34390149999999997</v>
      </c>
      <c r="F165">
        <f>MONTH(Table1[[#This Row],[fecha]])</f>
        <v>2</v>
      </c>
      <c r="G165" cm="1">
        <f t="array" ref="G165">_xlfn.XLOOKUP(Table1[[#This Row],[Mes]],_xlfn.ANCHORARRAY($J$2),_xlfn.ANCHORARRAY($K$2))</f>
        <v>-0.2417887891145831</v>
      </c>
      <c r="H165" s="2">
        <f>Table1[[#This Row],[Cost]]-Table1[[#This Row],[Tendencia]]-Table1[[#This Row],[Estacionalidad]]</f>
        <v>-0.10211271088541687</v>
      </c>
    </row>
    <row r="166" spans="1:8" x14ac:dyDescent="0.25">
      <c r="A166" t="s">
        <v>167</v>
      </c>
      <c r="B166" s="1">
        <v>38412</v>
      </c>
      <c r="C166">
        <v>0.65259</v>
      </c>
      <c r="D166">
        <f t="shared" si="2"/>
        <v>0.93823249999999991</v>
      </c>
      <c r="E166">
        <f>Table1[[#This Row],[Cost]]-Table1[[#This Row],[Tendencia]]</f>
        <v>-0.28564249999999991</v>
      </c>
      <c r="F166">
        <f>MONTH(Table1[[#This Row],[fecha]])</f>
        <v>3</v>
      </c>
      <c r="G166" cm="1">
        <f t="array" ref="G166">_xlfn.XLOOKUP(Table1[[#This Row],[Mes]],_xlfn.ANCHORARRAY($J$2),_xlfn.ANCHORARRAY($K$2))</f>
        <v>-0.17488669291666656</v>
      </c>
      <c r="H166" s="2">
        <f>Table1[[#This Row],[Cost]]-Table1[[#This Row],[Tendencia]]-Table1[[#This Row],[Estacionalidad]]</f>
        <v>-0.11075580708333335</v>
      </c>
    </row>
    <row r="167" spans="1:8" x14ac:dyDescent="0.25">
      <c r="A167" t="s">
        <v>168</v>
      </c>
      <c r="B167" s="1">
        <v>38443</v>
      </c>
      <c r="C167">
        <v>0.67050500000000002</v>
      </c>
      <c r="D167">
        <f t="shared" si="2"/>
        <v>0.92540183333333326</v>
      </c>
      <c r="E167">
        <f>Table1[[#This Row],[Cost]]-Table1[[#This Row],[Tendencia]]</f>
        <v>-0.25489683333333324</v>
      </c>
      <c r="F167">
        <f>MONTH(Table1[[#This Row],[fecha]])</f>
        <v>4</v>
      </c>
      <c r="G167" cm="1">
        <f t="array" ref="G167">_xlfn.XLOOKUP(Table1[[#This Row],[Mes]],_xlfn.ANCHORARRAY($J$2),_xlfn.ANCHORARRAY($K$2))</f>
        <v>-0.19169227364583324</v>
      </c>
      <c r="H167" s="2">
        <f>Table1[[#This Row],[Cost]]-Table1[[#This Row],[Tendencia]]-Table1[[#This Row],[Estacionalidad]]</f>
        <v>-6.3204559687499995E-2</v>
      </c>
    </row>
    <row r="168" spans="1:8" x14ac:dyDescent="0.25">
      <c r="A168" t="s">
        <v>169</v>
      </c>
      <c r="B168" s="1">
        <v>38473</v>
      </c>
      <c r="C168">
        <v>0.69524799999999998</v>
      </c>
      <c r="D168">
        <f t="shared" si="2"/>
        <v>0.91983474999999981</v>
      </c>
      <c r="E168">
        <f>Table1[[#This Row],[Cost]]-Table1[[#This Row],[Tendencia]]</f>
        <v>-0.22458674999999984</v>
      </c>
      <c r="F168">
        <f>MONTH(Table1[[#This Row],[fecha]])</f>
        <v>5</v>
      </c>
      <c r="G168" cm="1">
        <f t="array" ref="G168">_xlfn.XLOOKUP(Table1[[#This Row],[Mes]],_xlfn.ANCHORARRAY($J$2),_xlfn.ANCHORARRAY($K$2))</f>
        <v>-0.13691233416666657</v>
      </c>
      <c r="H168" s="2">
        <f>Table1[[#This Row],[Cost]]-Table1[[#This Row],[Tendencia]]-Table1[[#This Row],[Estacionalidad]]</f>
        <v>-8.7674415833333269E-2</v>
      </c>
    </row>
    <row r="169" spans="1:8" x14ac:dyDescent="0.25">
      <c r="A169" t="s">
        <v>170</v>
      </c>
      <c r="B169" s="1">
        <v>38504</v>
      </c>
      <c r="C169">
        <v>0.84226299999999998</v>
      </c>
      <c r="D169">
        <f t="shared" si="2"/>
        <v>0.91179091666666656</v>
      </c>
      <c r="E169">
        <f>Table1[[#This Row],[Cost]]-Table1[[#This Row],[Tendencia]]</f>
        <v>-6.9527916666666578E-2</v>
      </c>
      <c r="F169">
        <f>MONTH(Table1[[#This Row],[fecha]])</f>
        <v>6</v>
      </c>
      <c r="G169" cm="1">
        <f t="array" ref="G169">_xlfn.XLOOKUP(Table1[[#This Row],[Mes]],_xlfn.ANCHORARRAY($J$2),_xlfn.ANCHORARRAY($K$2))</f>
        <v>-9.9158206249999631E-2</v>
      </c>
      <c r="H169" s="2">
        <f>Table1[[#This Row],[Cost]]-Table1[[#This Row],[Tendencia]]-Table1[[#This Row],[Estacionalidad]]</f>
        <v>2.9630289583333053E-2</v>
      </c>
    </row>
    <row r="170" spans="1:8" x14ac:dyDescent="0.25">
      <c r="A170" t="s">
        <v>171</v>
      </c>
      <c r="B170" s="1">
        <v>38534</v>
      </c>
      <c r="C170">
        <v>0.874336</v>
      </c>
      <c r="D170">
        <f t="shared" si="2"/>
        <v>0.91679099999999991</v>
      </c>
      <c r="E170">
        <f>Table1[[#This Row],[Cost]]-Table1[[#This Row],[Tendencia]]</f>
        <v>-4.2454999999999909E-2</v>
      </c>
      <c r="F170">
        <f>MONTH(Table1[[#This Row],[fecha]])</f>
        <v>7</v>
      </c>
      <c r="G170" cm="1">
        <f t="array" ref="G170">_xlfn.XLOOKUP(Table1[[#This Row],[Mes]],_xlfn.ANCHORARRAY($J$2),_xlfn.ANCHORARRAY($K$2))</f>
        <v>-1.1719376458333233E-2</v>
      </c>
      <c r="H170" s="2">
        <f>Table1[[#This Row],[Cost]]-Table1[[#This Row],[Tendencia]]-Table1[[#This Row],[Estacionalidad]]</f>
        <v>-3.0735623541666677E-2</v>
      </c>
    </row>
    <row r="171" spans="1:8" x14ac:dyDescent="0.25">
      <c r="A171" t="s">
        <v>172</v>
      </c>
      <c r="B171" s="1">
        <v>38565</v>
      </c>
      <c r="C171">
        <v>1.006497</v>
      </c>
      <c r="D171">
        <f t="shared" si="2"/>
        <v>0.91591566666666668</v>
      </c>
      <c r="E171">
        <f>Table1[[#This Row],[Cost]]-Table1[[#This Row],[Tendencia]]</f>
        <v>9.0581333333333292E-2</v>
      </c>
      <c r="F171">
        <f>MONTH(Table1[[#This Row],[fecha]])</f>
        <v>8</v>
      </c>
      <c r="G171" cm="1">
        <f t="array" ref="G171">_xlfn.XLOOKUP(Table1[[#This Row],[Mes]],_xlfn.ANCHORARRAY($J$2),_xlfn.ANCHORARRAY($K$2))</f>
        <v>3.9435276458333612E-2</v>
      </c>
      <c r="H171" s="2">
        <f>Table1[[#This Row],[Cost]]-Table1[[#This Row],[Tendencia]]-Table1[[#This Row],[Estacionalidad]]</f>
        <v>5.1146056874999679E-2</v>
      </c>
    </row>
    <row r="172" spans="1:8" x14ac:dyDescent="0.25">
      <c r="A172" t="s">
        <v>173</v>
      </c>
      <c r="B172" s="1">
        <v>38596</v>
      </c>
      <c r="C172">
        <v>1.0947359999999999</v>
      </c>
      <c r="D172">
        <f t="shared" si="2"/>
        <v>0.9204464166666666</v>
      </c>
      <c r="E172">
        <f>Table1[[#This Row],[Cost]]-Table1[[#This Row],[Tendencia]]</f>
        <v>0.17428958333333333</v>
      </c>
      <c r="F172">
        <f>MONTH(Table1[[#This Row],[fecha]])</f>
        <v>9</v>
      </c>
      <c r="G172" cm="1">
        <f t="array" ref="G172">_xlfn.XLOOKUP(Table1[[#This Row],[Mes]],_xlfn.ANCHORARRAY($J$2),_xlfn.ANCHORARRAY($K$2))</f>
        <v>8.5093256874999718E-2</v>
      </c>
      <c r="H172" s="2">
        <f>Table1[[#This Row],[Cost]]-Table1[[#This Row],[Tendencia]]-Table1[[#This Row],[Estacionalidad]]</f>
        <v>8.9196326458333614E-2</v>
      </c>
    </row>
    <row r="173" spans="1:8" x14ac:dyDescent="0.25">
      <c r="A173" t="s">
        <v>174</v>
      </c>
      <c r="B173" s="1">
        <v>38626</v>
      </c>
      <c r="C173">
        <v>1.0270429999999999</v>
      </c>
      <c r="D173">
        <f t="shared" si="2"/>
        <v>0.91787441666666647</v>
      </c>
      <c r="E173">
        <f>Table1[[#This Row],[Cost]]-Table1[[#This Row],[Tendencia]]</f>
        <v>0.10916858333333346</v>
      </c>
      <c r="F173">
        <f>MONTH(Table1[[#This Row],[fecha]])</f>
        <v>10</v>
      </c>
      <c r="G173" cm="1">
        <f t="array" ref="G173">_xlfn.XLOOKUP(Table1[[#This Row],[Mes]],_xlfn.ANCHORARRAY($J$2),_xlfn.ANCHORARRAY($K$2))</f>
        <v>0.13081461645833237</v>
      </c>
      <c r="H173" s="2">
        <f>Table1[[#This Row],[Cost]]-Table1[[#This Row],[Tendencia]]-Table1[[#This Row],[Estacionalidad]]</f>
        <v>-2.1646033124998909E-2</v>
      </c>
    </row>
    <row r="174" spans="1:8" x14ac:dyDescent="0.25">
      <c r="A174" t="s">
        <v>175</v>
      </c>
      <c r="B174" s="1">
        <v>38657</v>
      </c>
      <c r="C174">
        <v>1.149232</v>
      </c>
      <c r="D174">
        <f t="shared" si="2"/>
        <v>0.92722083333333316</v>
      </c>
      <c r="E174">
        <f>Table1[[#This Row],[Cost]]-Table1[[#This Row],[Tendencia]]</f>
        <v>0.22201116666666687</v>
      </c>
      <c r="F174">
        <f>MONTH(Table1[[#This Row],[fecha]])</f>
        <v>11</v>
      </c>
      <c r="G174" cm="1">
        <f t="array" ref="G174">_xlfn.XLOOKUP(Table1[[#This Row],[Mes]],_xlfn.ANCHORARRAY($J$2),_xlfn.ANCHORARRAY($K$2))</f>
        <v>0.14559653791666705</v>
      </c>
      <c r="H174" s="2">
        <f>Table1[[#This Row],[Cost]]-Table1[[#This Row],[Tendencia]]-Table1[[#This Row],[Estacionalidad]]</f>
        <v>7.6414628749999824E-2</v>
      </c>
    </row>
    <row r="175" spans="1:8" x14ac:dyDescent="0.25">
      <c r="A175" t="s">
        <v>176</v>
      </c>
      <c r="B175" s="1">
        <v>38687</v>
      </c>
      <c r="C175">
        <v>1.160712</v>
      </c>
      <c r="D175">
        <f t="shared" si="2"/>
        <v>0.92352974999999982</v>
      </c>
      <c r="E175">
        <f>Table1[[#This Row],[Cost]]-Table1[[#This Row],[Tendencia]]</f>
        <v>0.23718225000000015</v>
      </c>
      <c r="F175">
        <f>MONTH(Table1[[#This Row],[fecha]])</f>
        <v>12</v>
      </c>
      <c r="G175" cm="1">
        <f t="array" ref="G175">_xlfn.XLOOKUP(Table1[[#This Row],[Mes]],_xlfn.ANCHORARRAY($J$2),_xlfn.ANCHORARRAY($K$2))</f>
        <v>0.23989462490196112</v>
      </c>
      <c r="H175" s="2">
        <f>Table1[[#This Row],[Cost]]-Table1[[#This Row],[Tendencia]]-Table1[[#This Row],[Estacionalidad]]</f>
        <v>-2.7123749019609678E-3</v>
      </c>
    </row>
    <row r="176" spans="1:8" x14ac:dyDescent="0.25">
      <c r="A176" t="s">
        <v>177</v>
      </c>
      <c r="B176" s="1">
        <v>38718</v>
      </c>
      <c r="C176">
        <v>1.230691</v>
      </c>
      <c r="D176">
        <f t="shared" si="2"/>
        <v>0.92436108333333322</v>
      </c>
      <c r="E176">
        <f>Table1[[#This Row],[Cost]]-Table1[[#This Row],[Tendencia]]</f>
        <v>0.30632991666666676</v>
      </c>
      <c r="F176">
        <f>MONTH(Table1[[#This Row],[fecha]])</f>
        <v>1</v>
      </c>
      <c r="G176" cm="1">
        <f t="array" ref="G176">_xlfn.XLOOKUP(Table1[[#This Row],[Mes]],_xlfn.ANCHORARRAY($J$2),_xlfn.ANCHORARRAY($K$2))</f>
        <v>0.2106900778124991</v>
      </c>
      <c r="H176" s="2">
        <f>Table1[[#This Row],[Cost]]-Table1[[#This Row],[Tendencia]]-Table1[[#This Row],[Estacionalidad]]</f>
        <v>9.5639838854167658E-2</v>
      </c>
    </row>
    <row r="177" spans="1:8" x14ac:dyDescent="0.25">
      <c r="A177" t="s">
        <v>178</v>
      </c>
      <c r="B177" s="1">
        <v>38749</v>
      </c>
      <c r="C177">
        <v>0.58713499999999996</v>
      </c>
      <c r="D177">
        <f t="shared" si="2"/>
        <v>0.92795699999999981</v>
      </c>
      <c r="E177">
        <f>Table1[[#This Row],[Cost]]-Table1[[#This Row],[Tendencia]]</f>
        <v>-0.34082199999999985</v>
      </c>
      <c r="F177">
        <f>MONTH(Table1[[#This Row],[fecha]])</f>
        <v>2</v>
      </c>
      <c r="G177" cm="1">
        <f t="array" ref="G177">_xlfn.XLOOKUP(Table1[[#This Row],[Mes]],_xlfn.ANCHORARRAY($J$2),_xlfn.ANCHORARRAY($K$2))</f>
        <v>-0.2417887891145831</v>
      </c>
      <c r="H177" s="2">
        <f>Table1[[#This Row],[Cost]]-Table1[[#This Row],[Tendencia]]-Table1[[#This Row],[Estacionalidad]]</f>
        <v>-9.903321088541675E-2</v>
      </c>
    </row>
    <row r="178" spans="1:8" x14ac:dyDescent="0.25">
      <c r="A178" t="s">
        <v>179</v>
      </c>
      <c r="B178" s="1">
        <v>38777</v>
      </c>
      <c r="C178">
        <v>0.706959</v>
      </c>
      <c r="D178">
        <f t="shared" si="2"/>
        <v>0.91970474999999985</v>
      </c>
      <c r="E178">
        <f>Table1[[#This Row],[Cost]]-Table1[[#This Row],[Tendencia]]</f>
        <v>-0.21274574999999984</v>
      </c>
      <c r="F178">
        <f>MONTH(Table1[[#This Row],[fecha]])</f>
        <v>3</v>
      </c>
      <c r="G178" cm="1">
        <f t="array" ref="G178">_xlfn.XLOOKUP(Table1[[#This Row],[Mes]],_xlfn.ANCHORARRAY($J$2),_xlfn.ANCHORARRAY($K$2))</f>
        <v>-0.17488669291666656</v>
      </c>
      <c r="H178" s="2">
        <f>Table1[[#This Row],[Cost]]-Table1[[#This Row],[Tendencia]]-Table1[[#This Row],[Estacionalidad]]</f>
        <v>-3.7859057083333286E-2</v>
      </c>
    </row>
    <row r="179" spans="1:8" x14ac:dyDescent="0.25">
      <c r="A179" t="s">
        <v>180</v>
      </c>
      <c r="B179" s="1">
        <v>38808</v>
      </c>
      <c r="C179">
        <v>0.63964100000000002</v>
      </c>
      <c r="D179">
        <f t="shared" si="2"/>
        <v>0.93147225</v>
      </c>
      <c r="E179">
        <f>Table1[[#This Row],[Cost]]-Table1[[#This Row],[Tendencia]]</f>
        <v>-0.29183124999999999</v>
      </c>
      <c r="F179">
        <f>MONTH(Table1[[#This Row],[fecha]])</f>
        <v>4</v>
      </c>
      <c r="G179" cm="1">
        <f t="array" ref="G179">_xlfn.XLOOKUP(Table1[[#This Row],[Mes]],_xlfn.ANCHORARRAY($J$2),_xlfn.ANCHORARRAY($K$2))</f>
        <v>-0.19169227364583324</v>
      </c>
      <c r="H179" s="2">
        <f>Table1[[#This Row],[Cost]]-Table1[[#This Row],[Tendencia]]-Table1[[#This Row],[Estacionalidad]]</f>
        <v>-0.10013897635416674</v>
      </c>
    </row>
    <row r="180" spans="1:8" x14ac:dyDescent="0.25">
      <c r="A180" t="s">
        <v>181</v>
      </c>
      <c r="B180" s="1">
        <v>38838</v>
      </c>
      <c r="C180">
        <v>0.80740500000000004</v>
      </c>
      <c r="D180">
        <f t="shared" si="2"/>
        <v>0.92803941666666667</v>
      </c>
      <c r="E180">
        <f>Table1[[#This Row],[Cost]]-Table1[[#This Row],[Tendencia]]</f>
        <v>-0.12063441666666663</v>
      </c>
      <c r="F180">
        <f>MONTH(Table1[[#This Row],[fecha]])</f>
        <v>5</v>
      </c>
      <c r="G180" cm="1">
        <f t="array" ref="G180">_xlfn.XLOOKUP(Table1[[#This Row],[Mes]],_xlfn.ANCHORARRAY($J$2),_xlfn.ANCHORARRAY($K$2))</f>
        <v>-0.13691233416666657</v>
      </c>
      <c r="H180" s="2">
        <f>Table1[[#This Row],[Cost]]-Table1[[#This Row],[Tendencia]]-Table1[[#This Row],[Estacionalidad]]</f>
        <v>1.6277917499999933E-2</v>
      </c>
    </row>
    <row r="181" spans="1:8" x14ac:dyDescent="0.25">
      <c r="A181" t="s">
        <v>182</v>
      </c>
      <c r="B181" s="1">
        <v>38869</v>
      </c>
      <c r="C181">
        <v>0.79796999999999996</v>
      </c>
      <c r="D181">
        <f t="shared" si="2"/>
        <v>0.92465116666666669</v>
      </c>
      <c r="E181">
        <f>Table1[[#This Row],[Cost]]-Table1[[#This Row],[Tendencia]]</f>
        <v>-0.12668116666666673</v>
      </c>
      <c r="F181">
        <f>MONTH(Table1[[#This Row],[fecha]])</f>
        <v>6</v>
      </c>
      <c r="G181" cm="1">
        <f t="array" ref="G181">_xlfn.XLOOKUP(Table1[[#This Row],[Mes]],_xlfn.ANCHORARRAY($J$2),_xlfn.ANCHORARRAY($K$2))</f>
        <v>-9.9158206249999631E-2</v>
      </c>
      <c r="H181" s="2">
        <f>Table1[[#This Row],[Cost]]-Table1[[#This Row],[Tendencia]]-Table1[[#This Row],[Estacionalidad]]</f>
        <v>-2.7522960416667103E-2</v>
      </c>
    </row>
    <row r="182" spans="1:8" x14ac:dyDescent="0.25">
      <c r="A182" t="s">
        <v>183</v>
      </c>
      <c r="B182" s="1">
        <v>38899</v>
      </c>
      <c r="C182">
        <v>0.88431199999999999</v>
      </c>
      <c r="D182">
        <f t="shared" si="2"/>
        <v>0.92403683333333342</v>
      </c>
      <c r="E182">
        <f>Table1[[#This Row],[Cost]]-Table1[[#This Row],[Tendencia]]</f>
        <v>-3.9724833333333431E-2</v>
      </c>
      <c r="F182">
        <f>MONTH(Table1[[#This Row],[fecha]])</f>
        <v>7</v>
      </c>
      <c r="G182" cm="1">
        <f t="array" ref="G182">_xlfn.XLOOKUP(Table1[[#This Row],[Mes]],_xlfn.ANCHORARRAY($J$2),_xlfn.ANCHORARRAY($K$2))</f>
        <v>-1.1719376458333233E-2</v>
      </c>
      <c r="H182" s="2">
        <f>Table1[[#This Row],[Cost]]-Table1[[#This Row],[Tendencia]]-Table1[[#This Row],[Estacionalidad]]</f>
        <v>-2.8005456875000199E-2</v>
      </c>
    </row>
    <row r="183" spans="1:8" x14ac:dyDescent="0.25">
      <c r="A183" t="s">
        <v>184</v>
      </c>
      <c r="B183" s="1">
        <v>38930</v>
      </c>
      <c r="C183">
        <v>1.0496479999999999</v>
      </c>
      <c r="D183">
        <f t="shared" si="2"/>
        <v>0.92492166666666675</v>
      </c>
      <c r="E183">
        <f>Table1[[#This Row],[Cost]]-Table1[[#This Row],[Tendencia]]</f>
        <v>0.12472633333333316</v>
      </c>
      <c r="F183">
        <f>MONTH(Table1[[#This Row],[fecha]])</f>
        <v>8</v>
      </c>
      <c r="G183" cm="1">
        <f t="array" ref="G183">_xlfn.XLOOKUP(Table1[[#This Row],[Mes]],_xlfn.ANCHORARRAY($J$2),_xlfn.ANCHORARRAY($K$2))</f>
        <v>3.9435276458333612E-2</v>
      </c>
      <c r="H183" s="2">
        <f>Table1[[#This Row],[Cost]]-Table1[[#This Row],[Tendencia]]-Table1[[#This Row],[Estacionalidad]]</f>
        <v>8.5291056874999549E-2</v>
      </c>
    </row>
    <row r="184" spans="1:8" x14ac:dyDescent="0.25">
      <c r="A184" t="s">
        <v>185</v>
      </c>
      <c r="B184" s="1">
        <v>38961</v>
      </c>
      <c r="C184">
        <v>0.99570899999999996</v>
      </c>
      <c r="D184">
        <f t="shared" si="2"/>
        <v>0.92470825000000001</v>
      </c>
      <c r="E184">
        <f>Table1[[#This Row],[Cost]]-Table1[[#This Row],[Tendencia]]</f>
        <v>7.1000749999999946E-2</v>
      </c>
      <c r="F184">
        <f>MONTH(Table1[[#This Row],[fecha]])</f>
        <v>9</v>
      </c>
      <c r="G184" cm="1">
        <f t="array" ref="G184">_xlfn.XLOOKUP(Table1[[#This Row],[Mes]],_xlfn.ANCHORARRAY($J$2),_xlfn.ANCHORARRAY($K$2))</f>
        <v>8.5093256874999718E-2</v>
      </c>
      <c r="H184" s="2">
        <f>Table1[[#This Row],[Cost]]-Table1[[#This Row],[Tendencia]]-Table1[[#This Row],[Estacionalidad]]</f>
        <v>-1.4092506874999772E-2</v>
      </c>
    </row>
    <row r="185" spans="1:8" x14ac:dyDescent="0.25">
      <c r="A185" t="s">
        <v>186</v>
      </c>
      <c r="B185" s="1">
        <v>38991</v>
      </c>
      <c r="C185">
        <v>1.168253</v>
      </c>
      <c r="D185">
        <f t="shared" si="2"/>
        <v>0.91821816666666656</v>
      </c>
      <c r="E185">
        <f>Table1[[#This Row],[Cost]]-Table1[[#This Row],[Tendencia]]</f>
        <v>0.25003483333333343</v>
      </c>
      <c r="F185">
        <f>MONTH(Table1[[#This Row],[fecha]])</f>
        <v>10</v>
      </c>
      <c r="G185" cm="1">
        <f t="array" ref="G185">_xlfn.XLOOKUP(Table1[[#This Row],[Mes]],_xlfn.ANCHORARRAY($J$2),_xlfn.ANCHORARRAY($K$2))</f>
        <v>0.13081461645833237</v>
      </c>
      <c r="H185" s="2">
        <f>Table1[[#This Row],[Cost]]-Table1[[#This Row],[Tendencia]]-Table1[[#This Row],[Estacionalidad]]</f>
        <v>0.11922021687500106</v>
      </c>
    </row>
    <row r="186" spans="1:8" x14ac:dyDescent="0.25">
      <c r="A186" t="s">
        <v>187</v>
      </c>
      <c r="B186" s="1">
        <v>39022</v>
      </c>
      <c r="C186">
        <v>1.1080380000000001</v>
      </c>
      <c r="D186">
        <f t="shared" si="2"/>
        <v>0.91303924999999986</v>
      </c>
      <c r="E186">
        <f>Table1[[#This Row],[Cost]]-Table1[[#This Row],[Tendencia]]</f>
        <v>0.19499875000000022</v>
      </c>
      <c r="F186">
        <f>MONTH(Table1[[#This Row],[fecha]])</f>
        <v>11</v>
      </c>
      <c r="G186" cm="1">
        <f t="array" ref="G186">_xlfn.XLOOKUP(Table1[[#This Row],[Mes]],_xlfn.ANCHORARRAY($J$2),_xlfn.ANCHORARRAY($K$2))</f>
        <v>0.14559653791666705</v>
      </c>
      <c r="H186" s="2">
        <f>Table1[[#This Row],[Cost]]-Table1[[#This Row],[Tendencia]]-Table1[[#This Row],[Estacionalidad]]</f>
        <v>4.9402212083333175E-2</v>
      </c>
    </row>
    <row r="187" spans="1:8" x14ac:dyDescent="0.25">
      <c r="A187" t="s">
        <v>188</v>
      </c>
      <c r="B187" s="1">
        <v>39052</v>
      </c>
      <c r="C187">
        <v>1.120053</v>
      </c>
      <c r="D187">
        <f t="shared" si="2"/>
        <v>0.91636958333333329</v>
      </c>
      <c r="E187">
        <f>Table1[[#This Row],[Cost]]-Table1[[#This Row],[Tendencia]]</f>
        <v>0.20368341666666667</v>
      </c>
      <c r="F187">
        <f>MONTH(Table1[[#This Row],[fecha]])</f>
        <v>12</v>
      </c>
      <c r="G187" cm="1">
        <f t="array" ref="G187">_xlfn.XLOOKUP(Table1[[#This Row],[Mes]],_xlfn.ANCHORARRAY($J$2),_xlfn.ANCHORARRAY($K$2))</f>
        <v>0.23989462490196112</v>
      </c>
      <c r="H187" s="2">
        <f>Table1[[#This Row],[Cost]]-Table1[[#This Row],[Tendencia]]-Table1[[#This Row],[Estacionalidad]]</f>
        <v>-3.6211208235294445E-2</v>
      </c>
    </row>
    <row r="188" spans="1:8" x14ac:dyDescent="0.25">
      <c r="A188" t="s">
        <v>189</v>
      </c>
      <c r="B188" s="1">
        <v>39083</v>
      </c>
      <c r="C188">
        <v>1.223319</v>
      </c>
      <c r="D188">
        <f t="shared" si="2"/>
        <v>0.92218891666666669</v>
      </c>
      <c r="E188">
        <f>Table1[[#This Row],[Cost]]-Table1[[#This Row],[Tendencia]]</f>
        <v>0.30113008333333335</v>
      </c>
      <c r="F188">
        <f>MONTH(Table1[[#This Row],[fecha]])</f>
        <v>1</v>
      </c>
      <c r="G188" cm="1">
        <f t="array" ref="G188">_xlfn.XLOOKUP(Table1[[#This Row],[Mes]],_xlfn.ANCHORARRAY($J$2),_xlfn.ANCHORARRAY($K$2))</f>
        <v>0.2106900778124991</v>
      </c>
      <c r="H188" s="2">
        <f>Table1[[#This Row],[Cost]]-Table1[[#This Row],[Tendencia]]-Table1[[#This Row],[Estacionalidad]]</f>
        <v>9.0440005520834255E-2</v>
      </c>
    </row>
    <row r="189" spans="1:8" x14ac:dyDescent="0.25">
      <c r="A189" t="s">
        <v>190</v>
      </c>
      <c r="B189" s="1">
        <v>39114</v>
      </c>
      <c r="C189">
        <v>0.59775299999999998</v>
      </c>
      <c r="D189">
        <f t="shared" si="2"/>
        <v>0.92456987416666669</v>
      </c>
      <c r="E189">
        <f>Table1[[#This Row],[Cost]]-Table1[[#This Row],[Tendencia]]</f>
        <v>-0.32681687416666672</v>
      </c>
      <c r="F189">
        <f>MONTH(Table1[[#This Row],[fecha]])</f>
        <v>2</v>
      </c>
      <c r="G189" cm="1">
        <f t="array" ref="G189">_xlfn.XLOOKUP(Table1[[#This Row],[Mes]],_xlfn.ANCHORARRAY($J$2),_xlfn.ANCHORARRAY($K$2))</f>
        <v>-0.2417887891145831</v>
      </c>
      <c r="H189" s="2">
        <f>Table1[[#This Row],[Cost]]-Table1[[#This Row],[Tendencia]]-Table1[[#This Row],[Estacionalidad]]</f>
        <v>-8.5028085052083618E-2</v>
      </c>
    </row>
    <row r="190" spans="1:8" x14ac:dyDescent="0.25">
      <c r="A190" t="s">
        <v>191</v>
      </c>
      <c r="B190" s="1">
        <v>39142</v>
      </c>
      <c r="C190">
        <v>0.70439799999999997</v>
      </c>
      <c r="D190">
        <f t="shared" si="2"/>
        <v>0.93417592500000002</v>
      </c>
      <c r="E190">
        <f>Table1[[#This Row],[Cost]]-Table1[[#This Row],[Tendencia]]</f>
        <v>-0.22977792500000005</v>
      </c>
      <c r="F190">
        <f>MONTH(Table1[[#This Row],[fecha]])</f>
        <v>3</v>
      </c>
      <c r="G190" cm="1">
        <f t="array" ref="G190">_xlfn.XLOOKUP(Table1[[#This Row],[Mes]],_xlfn.ANCHORARRAY($J$2),_xlfn.ANCHORARRAY($K$2))</f>
        <v>-0.17488669291666656</v>
      </c>
      <c r="H190" s="2">
        <f>Table1[[#This Row],[Cost]]-Table1[[#This Row],[Tendencia]]-Table1[[#This Row],[Estacionalidad]]</f>
        <v>-5.4891232083333491E-2</v>
      </c>
    </row>
    <row r="191" spans="1:8" x14ac:dyDescent="0.25">
      <c r="A191" t="s">
        <v>192</v>
      </c>
      <c r="B191" s="1">
        <v>39173</v>
      </c>
      <c r="C191">
        <v>0.56176000000000004</v>
      </c>
      <c r="D191">
        <f t="shared" si="2"/>
        <v>0.92931976999999921</v>
      </c>
      <c r="E191">
        <f>Table1[[#This Row],[Cost]]-Table1[[#This Row],[Tendencia]]</f>
        <v>-0.36755976999999918</v>
      </c>
      <c r="F191">
        <f>MONTH(Table1[[#This Row],[fecha]])</f>
        <v>4</v>
      </c>
      <c r="G191" cm="1">
        <f t="array" ref="G191">_xlfn.XLOOKUP(Table1[[#This Row],[Mes]],_xlfn.ANCHORARRAY($J$2),_xlfn.ANCHORARRAY($K$2))</f>
        <v>-0.19169227364583324</v>
      </c>
      <c r="H191" s="2">
        <f>Table1[[#This Row],[Cost]]-Table1[[#This Row],[Tendencia]]-Table1[[#This Row],[Estacionalidad]]</f>
        <v>-0.17586749635416593</v>
      </c>
    </row>
    <row r="192" spans="1:8" x14ac:dyDescent="0.25">
      <c r="A192" t="s">
        <v>193</v>
      </c>
      <c r="B192" s="1">
        <v>39203</v>
      </c>
      <c r="C192">
        <v>0.74525799999999998</v>
      </c>
      <c r="D192">
        <f t="shared" si="2"/>
        <v>0.93394446166666578</v>
      </c>
      <c r="E192">
        <f>Table1[[#This Row],[Cost]]-Table1[[#This Row],[Tendencia]]</f>
        <v>-0.18868646166666581</v>
      </c>
      <c r="F192">
        <f>MONTH(Table1[[#This Row],[fecha]])</f>
        <v>5</v>
      </c>
      <c r="G192" cm="1">
        <f t="array" ref="G192">_xlfn.XLOOKUP(Table1[[#This Row],[Mes]],_xlfn.ANCHORARRAY($J$2),_xlfn.ANCHORARRAY($K$2))</f>
        <v>-0.13691233416666657</v>
      </c>
      <c r="H192" s="2">
        <f>Table1[[#This Row],[Cost]]-Table1[[#This Row],[Tendencia]]-Table1[[#This Row],[Estacionalidad]]</f>
        <v>-5.177412749999924E-2</v>
      </c>
    </row>
    <row r="193" spans="1:8" x14ac:dyDescent="0.25">
      <c r="A193" t="s">
        <v>194</v>
      </c>
      <c r="B193" s="1">
        <v>39234</v>
      </c>
      <c r="C193">
        <v>0.83793399999999996</v>
      </c>
      <c r="D193">
        <f t="shared" si="2"/>
        <v>0.93865579499999907</v>
      </c>
      <c r="E193">
        <f>Table1[[#This Row],[Cost]]-Table1[[#This Row],[Tendencia]]</f>
        <v>-0.10072179499999911</v>
      </c>
      <c r="F193">
        <f>MONTH(Table1[[#This Row],[fecha]])</f>
        <v>6</v>
      </c>
      <c r="G193" cm="1">
        <f t="array" ref="G193">_xlfn.XLOOKUP(Table1[[#This Row],[Mes]],_xlfn.ANCHORARRAY($J$2),_xlfn.ANCHORARRAY($K$2))</f>
        <v>-9.9158206249999631E-2</v>
      </c>
      <c r="H193" s="2">
        <f>Table1[[#This Row],[Cost]]-Table1[[#This Row],[Tendencia]]-Table1[[#This Row],[Estacionalidad]]</f>
        <v>-1.5635887499994838E-3</v>
      </c>
    </row>
    <row r="194" spans="1:8" x14ac:dyDescent="0.25">
      <c r="A194" t="s">
        <v>195</v>
      </c>
      <c r="B194" s="1">
        <v>39264</v>
      </c>
      <c r="C194">
        <v>0.95414399999999999</v>
      </c>
      <c r="D194">
        <f>AVERAGE(C189:C200)</f>
        <v>0.93837429499999914</v>
      </c>
      <c r="E194">
        <f>Table1[[#This Row],[Cost]]-Table1[[#This Row],[Tendencia]]</f>
        <v>1.5769705000000855E-2</v>
      </c>
      <c r="F194">
        <f>MONTH(Table1[[#This Row],[fecha]])</f>
        <v>7</v>
      </c>
      <c r="G194" cm="1">
        <f t="array" ref="G194">_xlfn.XLOOKUP(Table1[[#This Row],[Mes]],_xlfn.ANCHORARRAY($J$2),_xlfn.ANCHORARRAY($K$2))</f>
        <v>-1.1719376458333233E-2</v>
      </c>
      <c r="H194" s="2">
        <f>Table1[[#This Row],[Cost]]-Table1[[#This Row],[Tendencia]]-Table1[[#This Row],[Estacionalidad]]</f>
        <v>2.7489081458334088E-2</v>
      </c>
    </row>
    <row r="195" spans="1:8" x14ac:dyDescent="0.25">
      <c r="A195" t="s">
        <v>196</v>
      </c>
      <c r="B195" s="1">
        <v>39295</v>
      </c>
      <c r="C195">
        <v>1.0782194899999999</v>
      </c>
      <c r="D195">
        <f t="shared" si="2"/>
        <v>0.95204671166666577</v>
      </c>
      <c r="E195">
        <f>Table1[[#This Row],[Cost]]-Table1[[#This Row],[Tendencia]]</f>
        <v>0.12617277833333418</v>
      </c>
      <c r="F195">
        <f>MONTH(Table1[[#This Row],[fecha]])</f>
        <v>8</v>
      </c>
      <c r="G195" cm="1">
        <f t="array" ref="G195">_xlfn.XLOOKUP(Table1[[#This Row],[Mes]],_xlfn.ANCHORARRAY($J$2),_xlfn.ANCHORARRAY($K$2))</f>
        <v>3.9435276458333612E-2</v>
      </c>
      <c r="H195" s="2">
        <f>Table1[[#This Row],[Cost]]-Table1[[#This Row],[Tendencia]]-Table1[[#This Row],[Estacionalidad]]</f>
        <v>8.6737501875000567E-2</v>
      </c>
    </row>
    <row r="196" spans="1:8" x14ac:dyDescent="0.25">
      <c r="A196" t="s">
        <v>197</v>
      </c>
      <c r="B196" s="1">
        <v>39326</v>
      </c>
      <c r="C196">
        <v>1.1109816100000001</v>
      </c>
      <c r="D196">
        <f t="shared" si="2"/>
        <v>0.94746646166666604</v>
      </c>
      <c r="E196">
        <f>Table1[[#This Row],[Cost]]-Table1[[#This Row],[Tendencia]]</f>
        <v>0.16351514833333403</v>
      </c>
      <c r="F196">
        <f>MONTH(Table1[[#This Row],[fecha]])</f>
        <v>9</v>
      </c>
      <c r="G196" cm="1">
        <f t="array" ref="G196">_xlfn.XLOOKUP(Table1[[#This Row],[Mes]],_xlfn.ANCHORARRAY($J$2),_xlfn.ANCHORARRAY($K$2))</f>
        <v>8.5093256874999718E-2</v>
      </c>
      <c r="H196" s="2">
        <f>Table1[[#This Row],[Cost]]-Table1[[#This Row],[Tendencia]]-Table1[[#This Row],[Estacionalidad]]</f>
        <v>7.8421891458334309E-2</v>
      </c>
    </row>
    <row r="197" spans="1:8" x14ac:dyDescent="0.25">
      <c r="A197" t="s">
        <v>198</v>
      </c>
      <c r="B197" s="1">
        <v>39356</v>
      </c>
      <c r="C197">
        <v>1.1099791399999901</v>
      </c>
      <c r="D197">
        <f t="shared" si="2"/>
        <v>0.96964371166666607</v>
      </c>
      <c r="E197">
        <f>Table1[[#This Row],[Cost]]-Table1[[#This Row],[Tendencia]]</f>
        <v>0.14033542833332402</v>
      </c>
      <c r="F197">
        <f>MONTH(Table1[[#This Row],[fecha]])</f>
        <v>10</v>
      </c>
      <c r="G197" cm="1">
        <f t="array" ref="G197">_xlfn.XLOOKUP(Table1[[#This Row],[Mes]],_xlfn.ANCHORARRAY($J$2),_xlfn.ANCHORARRAY($K$2))</f>
        <v>0.13081461645833237</v>
      </c>
      <c r="H197" s="2">
        <f>Table1[[#This Row],[Cost]]-Table1[[#This Row],[Tendencia]]-Table1[[#This Row],[Estacionalidad]]</f>
        <v>9.5208118749916526E-3</v>
      </c>
    </row>
    <row r="198" spans="1:8" x14ac:dyDescent="0.25">
      <c r="A198" t="s">
        <v>199</v>
      </c>
      <c r="B198" s="1">
        <v>39387</v>
      </c>
      <c r="C198">
        <v>1.1635343</v>
      </c>
      <c r="D198">
        <f>AVERAGE(C193:C204)</f>
        <v>0.97556012833333261</v>
      </c>
      <c r="E198">
        <f>Table1[[#This Row],[Cost]]-Table1[[#This Row],[Tendencia]]</f>
        <v>0.18797417166666741</v>
      </c>
      <c r="F198">
        <f>MONTH(Table1[[#This Row],[fecha]])</f>
        <v>11</v>
      </c>
      <c r="G198" cm="1">
        <f t="array" ref="G198">_xlfn.XLOOKUP(Table1[[#This Row],[Mes]],_xlfn.ANCHORARRAY($J$2),_xlfn.ANCHORARRAY($K$2))</f>
        <v>0.14559653791666705</v>
      </c>
      <c r="H198" s="2">
        <f>Table1[[#This Row],[Cost]]-Table1[[#This Row],[Tendencia]]-Table1[[#This Row],[Estacionalidad]]</f>
        <v>4.2377633750000365E-2</v>
      </c>
    </row>
    <row r="199" spans="1:8" x14ac:dyDescent="0.25">
      <c r="A199" t="s">
        <v>200</v>
      </c>
      <c r="B199" s="1">
        <v>39417</v>
      </c>
      <c r="C199">
        <v>1.1765890000000001</v>
      </c>
      <c r="D199">
        <f>AVERAGE(C194:C205)</f>
        <v>0.96924371166666579</v>
      </c>
      <c r="E199">
        <f>Table1[[#This Row],[Cost]]-Table1[[#This Row],[Tendencia]]</f>
        <v>0.20734528833333432</v>
      </c>
      <c r="F199">
        <f>MONTH(Table1[[#This Row],[fecha]])</f>
        <v>12</v>
      </c>
      <c r="G199" cm="1">
        <f t="array" ref="G199">_xlfn.XLOOKUP(Table1[[#This Row],[Mes]],_xlfn.ANCHORARRAY($J$2),_xlfn.ANCHORARRAY($K$2))</f>
        <v>0.23989462490196112</v>
      </c>
      <c r="H199" s="2">
        <f>Table1[[#This Row],[Cost]]-Table1[[#This Row],[Tendencia]]-Table1[[#This Row],[Estacionalidad]]</f>
        <v>-3.2549336568626797E-2</v>
      </c>
    </row>
    <row r="200" spans="1:8" x14ac:dyDescent="0.25">
      <c r="A200" t="s">
        <v>201</v>
      </c>
      <c r="B200" s="1">
        <v>39448</v>
      </c>
      <c r="C200">
        <v>1.2199409999999999</v>
      </c>
      <c r="F200">
        <f>MONTH(Table1[[#This Row],[fecha]])</f>
        <v>1</v>
      </c>
      <c r="H200" s="2"/>
    </row>
    <row r="201" spans="1:8" x14ac:dyDescent="0.25">
      <c r="A201" t="s">
        <v>202</v>
      </c>
      <c r="B201" s="1">
        <v>39479</v>
      </c>
      <c r="C201">
        <v>0.761822</v>
      </c>
      <c r="F201">
        <f>MONTH(Table1[[#This Row],[fecha]])</f>
        <v>2</v>
      </c>
      <c r="H201" s="2"/>
    </row>
    <row r="202" spans="1:8" x14ac:dyDescent="0.25">
      <c r="A202" t="s">
        <v>203</v>
      </c>
      <c r="B202" s="1">
        <v>39508</v>
      </c>
      <c r="C202">
        <v>0.64943499999999998</v>
      </c>
      <c r="F202">
        <f>MONTH(Table1[[#This Row],[fecha]])</f>
        <v>3</v>
      </c>
      <c r="H202" s="2"/>
    </row>
    <row r="203" spans="1:8" x14ac:dyDescent="0.25">
      <c r="A203" t="s">
        <v>204</v>
      </c>
      <c r="B203" s="1">
        <v>39539</v>
      </c>
      <c r="C203">
        <v>0.82788700000000004</v>
      </c>
      <c r="F203">
        <f>MONTH(Table1[[#This Row],[fecha]])</f>
        <v>4</v>
      </c>
      <c r="H203" s="2"/>
    </row>
    <row r="204" spans="1:8" x14ac:dyDescent="0.25">
      <c r="A204" t="s">
        <v>205</v>
      </c>
      <c r="B204" s="1">
        <v>39569</v>
      </c>
      <c r="C204">
        <v>0.81625499999999995</v>
      </c>
      <c r="F204">
        <f>MONTH(Table1[[#This Row],[fecha]])</f>
        <v>5</v>
      </c>
      <c r="H204" s="2"/>
    </row>
    <row r="205" spans="1:8" x14ac:dyDescent="0.25">
      <c r="A205" t="s">
        <v>206</v>
      </c>
      <c r="B205" s="1">
        <v>39600</v>
      </c>
      <c r="C205">
        <v>0.76213699999999995</v>
      </c>
      <c r="F205">
        <f>MONTH(Table1[[#This Row],[fecha]])</f>
        <v>6</v>
      </c>
      <c r="H205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Gibran Chavez</dc:creator>
  <cp:lastModifiedBy>CHAVEZ GONZALEZ, GIBRAN LEONARDO</cp:lastModifiedBy>
  <dcterms:created xsi:type="dcterms:W3CDTF">2026-08-28T19:24:06Z</dcterms:created>
  <dcterms:modified xsi:type="dcterms:W3CDTF">2026-08-28T20:14:27Z</dcterms:modified>
</cp:coreProperties>
</file>